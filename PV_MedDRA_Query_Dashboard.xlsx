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aw Data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<sst xmlns="http://schemas.openxmlformats.org/spreadsheetml/2006/main" count="3530" uniqueCount="523">
  <si>
    <t xml:space="preserve">PV Case Query &amp; MedDRA Coding Analytics Dashboard</t>
  </si>
  <si>
    <t xml:space="preserve">A portfolio project simulating case query management and MedDRA coding analytics for a Pharmacovigilance team</t>
  </si>
  <si>
    <t xml:space="preserve">PURPOSE</t>
  </si>
  <si>
    <t xml:space="preserve">This workbook simulates how a Pharmacovigilance (PV) Associate or Analyst tracks Individual Case Safety Reports (ICSRs) through intake, MedDRA coding, data-management queries, and expedited regulatory reporting timelines. It is built on synthetic data for portfolio and interview demonstration purposes only.</t>
  </si>
  <si>
    <t xml:space="preserve">SHEETS</t>
  </si>
  <si>
    <t xml:space="preserve">Raw Data - 400 synthetic ICSR-style case records with MedDRA System Organ Class (SOC) and Preferred Term (PT) coding, seriousness classification, query status, and submission timelines.</t>
  </si>
  <si>
    <t xml:space="preserve">Dashboard - KPI summary cards and six analytics views built entirely from live formulas (COUNTIFS, SUMIFS, AVERAGEIF) referencing Raw Data, plus charts. Everything recalculates if Raw Data changes.</t>
  </si>
  <si>
    <t xml:space="preserve">KEY PV CONCEPTS DEMONSTRATED</t>
  </si>
  <si>
    <t xml:space="preserve">MedDRA coding distribution - which System Organ Classes and Preferred Terms occur most often, which is what a coder/reviewer monitors for consistency and signal patterns.</t>
  </si>
  <si>
    <t xml:space="preserve">Query turnaround time - the operational KPI CROs track for data management query cycle time (query raised to query closed).</t>
  </si>
  <si>
    <t xml:space="preserve">Query backlog aging - how many queries are still open, bucketed by age, which is a standard PV/CDM team workload metric.</t>
  </si>
  <si>
    <t xml:space="preserve">Expedited reporting timeliness - percentage of Serious cases submitted within the assumed regulatory deadline, referencing ICH E2A/E2D-style expedited timelines.</t>
  </si>
  <si>
    <t xml:space="preserve">ASSUMPTIONS (documented per good CDM/PV practice)</t>
  </si>
  <si>
    <t xml:space="preserve">1. A flat 15-calendar-day expedited reporting deadline is assumed for all Serious cases from date of receipt. Real-world practice separates Fatal/Life-threatening Serious Unexpected cases into a 7-day clock; that split was simplified here for portfolio scope.</t>
  </si>
  <si>
    <t xml:space="preserve">2. 'Report As Of' date for backlog aging is fixed at 11-Jul-2026 (cell Dashboard!B2) so the workbook gives consistent results regardless of when it is opened.</t>
  </si>
  <si>
    <t xml:space="preserve">3. All case IDs, dates, products, and outcomes are synthetically generated (random seed = 42) and do not represent any real patient, product, or company data.</t>
  </si>
  <si>
    <t xml:space="preserve">HOW TO USE IN AN INTERVIEW</t>
  </si>
  <si>
    <t xml:space="preserve">Open the Dashboard tab and walk through the KPI cards first (case volume, seriousness mix, query turnaround, on-time submission rate), then use the SOC and query-type charts to talk through how coding and query patterns would inform process improvements on a real study.</t>
  </si>
  <si>
    <t xml:space="preserve">Case_ID</t>
  </si>
  <si>
    <t xml:space="preserve">Receipt_Date</t>
  </si>
  <si>
    <t xml:space="preserve">Product</t>
  </si>
  <si>
    <t xml:space="preserve">MedDRA_SOC</t>
  </si>
  <si>
    <t xml:space="preserve">MedDRA_PT</t>
  </si>
  <si>
    <t xml:space="preserve">Seriousness</t>
  </si>
  <si>
    <t xml:space="preserve">Country</t>
  </si>
  <si>
    <t xml:space="preserve">Reporter_Type</t>
  </si>
  <si>
    <t xml:space="preserve">Query_Raised</t>
  </si>
  <si>
    <t xml:space="preserve">Query_Type</t>
  </si>
  <si>
    <t xml:space="preserve">Query_Open_Date</t>
  </si>
  <si>
    <t xml:space="preserve">Query_Close_Date</t>
  </si>
  <si>
    <t xml:space="preserve">Days_to_Close</t>
  </si>
  <si>
    <t xml:space="preserve">Submission_Date</t>
  </si>
  <si>
    <t xml:space="preserve">Regulatory_Deadline_Days</t>
  </si>
  <si>
    <t xml:space="preserve">Days_to_Submission</t>
  </si>
  <si>
    <t xml:space="preserve">Submitted_On_Time</t>
  </si>
  <si>
    <t xml:space="preserve">Open_Query_Age_Days</t>
  </si>
  <si>
    <t xml:space="preserve">PV-2026-0001</t>
  </si>
  <si>
    <t xml:space="preserve">CardioStat</t>
  </si>
  <si>
    <t xml:space="preserve">Cardiac disorders</t>
  </si>
  <si>
    <t xml:space="preserve">Tachycardia</t>
  </si>
  <si>
    <t xml:space="preserve">Serious</t>
  </si>
  <si>
    <t xml:space="preserve">Brazil</t>
  </si>
  <si>
    <t xml:space="preserve">Consumer</t>
  </si>
  <si>
    <t xml:space="preserve">No</t>
  </si>
  <si>
    <t xml:space="preserve">PV-2026-0002</t>
  </si>
  <si>
    <t xml:space="preserve">Skin and subcutaneous tissue disorders</t>
  </si>
  <si>
    <t xml:space="preserve">Rash</t>
  </si>
  <si>
    <t xml:space="preserve">UK</t>
  </si>
  <si>
    <t xml:space="preserve">PV-2026-0003</t>
  </si>
  <si>
    <t xml:space="preserve">ImmunoShield</t>
  </si>
  <si>
    <t xml:space="preserve">Renal and urinary disorders</t>
  </si>
  <si>
    <t xml:space="preserve">Renal impairment</t>
  </si>
  <si>
    <t xml:space="preserve">Non-serious</t>
  </si>
  <si>
    <t xml:space="preserve">India</t>
  </si>
  <si>
    <t xml:space="preserve">Pharmacist</t>
  </si>
  <si>
    <t xml:space="preserve">PV-2026-0004</t>
  </si>
  <si>
    <t xml:space="preserve">DiabeCare</t>
  </si>
  <si>
    <t xml:space="preserve">Immune system disorders</t>
  </si>
  <si>
    <t xml:space="preserve">Anaphylactic reaction</t>
  </si>
  <si>
    <t xml:space="preserve">USA</t>
  </si>
  <si>
    <t xml:space="preserve">Healthcare Professional</t>
  </si>
  <si>
    <t xml:space="preserve">Yes</t>
  </si>
  <si>
    <t xml:space="preserve">MedDRA Coding Query</t>
  </si>
  <si>
    <t xml:space="preserve">PV-2026-0005</t>
  </si>
  <si>
    <t xml:space="preserve">OncoRelief</t>
  </si>
  <si>
    <t xml:space="preserve">Palpitations</t>
  </si>
  <si>
    <t xml:space="preserve">Germany</t>
  </si>
  <si>
    <t xml:space="preserve">PV-2026-0006</t>
  </si>
  <si>
    <t xml:space="preserve">PV-2026-0007</t>
  </si>
  <si>
    <t xml:space="preserve">Investigations</t>
  </si>
  <si>
    <t xml:space="preserve">Liver function test abnormal</t>
  </si>
  <si>
    <t xml:space="preserve">Canada</t>
  </si>
  <si>
    <t xml:space="preserve">PV-2026-0008</t>
  </si>
  <si>
    <t xml:space="preserve">NeuroCalm</t>
  </si>
  <si>
    <t xml:space="preserve">Causality Assessment</t>
  </si>
  <si>
    <t xml:space="preserve">PV-2026-0009</t>
  </si>
  <si>
    <t xml:space="preserve">Follow-up Required</t>
  </si>
  <si>
    <t xml:space="preserve">PV-2026-0010</t>
  </si>
  <si>
    <t xml:space="preserve">PV-2026-0011</t>
  </si>
  <si>
    <t xml:space="preserve">Gastrointestinal disorders</t>
  </si>
  <si>
    <t xml:space="preserve">Nausea</t>
  </si>
  <si>
    <t xml:space="preserve">PV-2026-0012</t>
  </si>
  <si>
    <t xml:space="preserve">Nervous system disorders</t>
  </si>
  <si>
    <t xml:space="preserve">Dizziness</t>
  </si>
  <si>
    <t xml:space="preserve">PV-2026-0013</t>
  </si>
  <si>
    <t xml:space="preserve">Psychiatric disorders</t>
  </si>
  <si>
    <t xml:space="preserve">Insomnia</t>
  </si>
  <si>
    <t xml:space="preserve">PV-2026-0014</t>
  </si>
  <si>
    <t xml:space="preserve">Japan</t>
  </si>
  <si>
    <t xml:space="preserve">Missing Information</t>
  </si>
  <si>
    <t xml:space="preserve">PV-2026-0015</t>
  </si>
  <si>
    <t xml:space="preserve">Urticaria</t>
  </si>
  <si>
    <t xml:space="preserve">PV-2026-0016</t>
  </si>
  <si>
    <t xml:space="preserve">PV-2026-0017</t>
  </si>
  <si>
    <t xml:space="preserve">Hypersensitivity</t>
  </si>
  <si>
    <t xml:space="preserve">PV-2026-0018</t>
  </si>
  <si>
    <t xml:space="preserve">PV-2026-0019</t>
  </si>
  <si>
    <t xml:space="preserve">PV-2026-0020</t>
  </si>
  <si>
    <t xml:space="preserve">Data Inconsistency</t>
  </si>
  <si>
    <t xml:space="preserve">PV-2026-0021</t>
  </si>
  <si>
    <t xml:space="preserve">PV-2026-0022</t>
  </si>
  <si>
    <t xml:space="preserve">General disorders and administration site conditions</t>
  </si>
  <si>
    <t xml:space="preserve">Fatigue</t>
  </si>
  <si>
    <t xml:space="preserve">PV-2026-0023</t>
  </si>
  <si>
    <t xml:space="preserve">PV-2026-0024</t>
  </si>
  <si>
    <t xml:space="preserve">PV-2026-0025</t>
  </si>
  <si>
    <t xml:space="preserve">PV-2026-0026</t>
  </si>
  <si>
    <t xml:space="preserve">PV-2026-0027</t>
  </si>
  <si>
    <t xml:space="preserve">PV-2026-0028</t>
  </si>
  <si>
    <t xml:space="preserve">Anxiety</t>
  </si>
  <si>
    <t xml:space="preserve">PV-2026-0029</t>
  </si>
  <si>
    <t xml:space="preserve">PV-2026-0030</t>
  </si>
  <si>
    <t xml:space="preserve">Diarrhoea</t>
  </si>
  <si>
    <t xml:space="preserve">PV-2026-0031</t>
  </si>
  <si>
    <t xml:space="preserve">PV-2026-0032</t>
  </si>
  <si>
    <t xml:space="preserve">PV-2026-0033</t>
  </si>
  <si>
    <t xml:space="preserve">Headache</t>
  </si>
  <si>
    <t xml:space="preserve">PV-2026-0034</t>
  </si>
  <si>
    <t xml:space="preserve">Blood glucose increased</t>
  </si>
  <si>
    <t xml:space="preserve">PV-2026-0035</t>
  </si>
  <si>
    <t xml:space="preserve">PV-2026-0036</t>
  </si>
  <si>
    <t xml:space="preserve">Australia</t>
  </si>
  <si>
    <t xml:space="preserve">PV-2026-0037</t>
  </si>
  <si>
    <t xml:space="preserve">PV-2026-0038</t>
  </si>
  <si>
    <t xml:space="preserve">Pyrexia</t>
  </si>
  <si>
    <t xml:space="preserve">PV-2026-0039</t>
  </si>
  <si>
    <t xml:space="preserve">Source Document Discrepancy</t>
  </si>
  <si>
    <t xml:space="preserve">PV-2026-0040</t>
  </si>
  <si>
    <t xml:space="preserve">PV-2026-0041</t>
  </si>
  <si>
    <t xml:space="preserve">Other</t>
  </si>
  <si>
    <t xml:space="preserve">PV-2026-0042</t>
  </si>
  <si>
    <t xml:space="preserve">PV-2026-0043</t>
  </si>
  <si>
    <t xml:space="preserve">Injection site reaction</t>
  </si>
  <si>
    <t xml:space="preserve">PV-2026-0044</t>
  </si>
  <si>
    <t xml:space="preserve">PV-2026-0045</t>
  </si>
  <si>
    <t xml:space="preserve">PV-2026-0046</t>
  </si>
  <si>
    <t xml:space="preserve">PV-2026-0047</t>
  </si>
  <si>
    <t xml:space="preserve">PV-2026-0048</t>
  </si>
  <si>
    <t xml:space="preserve">Acute kidney injury</t>
  </si>
  <si>
    <t xml:space="preserve">PV-2026-0049</t>
  </si>
  <si>
    <t xml:space="preserve">PV-2026-0050</t>
  </si>
  <si>
    <t xml:space="preserve">PV-2026-0051</t>
  </si>
  <si>
    <t xml:space="preserve">PV-2026-0052</t>
  </si>
  <si>
    <t xml:space="preserve">Vomiting</t>
  </si>
  <si>
    <t xml:space="preserve">PV-2026-0053</t>
  </si>
  <si>
    <t xml:space="preserve">PV-2026-0054</t>
  </si>
  <si>
    <t xml:space="preserve">PV-2026-0055</t>
  </si>
  <si>
    <t xml:space="preserve">PV-2026-0056</t>
  </si>
  <si>
    <t xml:space="preserve">PV-2026-0057</t>
  </si>
  <si>
    <t xml:space="preserve">PV-2026-0058</t>
  </si>
  <si>
    <t xml:space="preserve">PV-2026-0059</t>
  </si>
  <si>
    <t xml:space="preserve">PV-2026-0060</t>
  </si>
  <si>
    <t xml:space="preserve">PV-2026-0061</t>
  </si>
  <si>
    <t xml:space="preserve">PV-2026-0062</t>
  </si>
  <si>
    <t xml:space="preserve">PV-2026-0063</t>
  </si>
  <si>
    <t xml:space="preserve">PV-2026-0064</t>
  </si>
  <si>
    <t xml:space="preserve">PV-2026-0065</t>
  </si>
  <si>
    <t xml:space="preserve">PV-2026-0066</t>
  </si>
  <si>
    <t xml:space="preserve">PV-2026-0067</t>
  </si>
  <si>
    <t xml:space="preserve">PV-2026-0068</t>
  </si>
  <si>
    <t xml:space="preserve">PV-2026-0069</t>
  </si>
  <si>
    <t xml:space="preserve">PV-2026-0070</t>
  </si>
  <si>
    <t xml:space="preserve">PV-2026-0071</t>
  </si>
  <si>
    <t xml:space="preserve">PV-2026-0072</t>
  </si>
  <si>
    <t xml:space="preserve">PV-2026-0073</t>
  </si>
  <si>
    <t xml:space="preserve">PV-2026-0074</t>
  </si>
  <si>
    <t xml:space="preserve">PV-2026-0075</t>
  </si>
  <si>
    <t xml:space="preserve">Pruritus</t>
  </si>
  <si>
    <t xml:space="preserve">PV-2026-0076</t>
  </si>
  <si>
    <t xml:space="preserve">PV-2026-0077</t>
  </si>
  <si>
    <t xml:space="preserve">PV-2026-0078</t>
  </si>
  <si>
    <t xml:space="preserve">PV-2026-0079</t>
  </si>
  <si>
    <t xml:space="preserve">PV-2026-0080</t>
  </si>
  <si>
    <t xml:space="preserve">PV-2026-0081</t>
  </si>
  <si>
    <t xml:space="preserve">PV-2026-0082</t>
  </si>
  <si>
    <t xml:space="preserve">PV-2026-0083</t>
  </si>
  <si>
    <t xml:space="preserve">PV-2026-0084</t>
  </si>
  <si>
    <t xml:space="preserve">PV-2026-0085</t>
  </si>
  <si>
    <t xml:space="preserve">PV-2026-0086</t>
  </si>
  <si>
    <t xml:space="preserve">PV-2026-0087</t>
  </si>
  <si>
    <t xml:space="preserve">PV-2026-0088</t>
  </si>
  <si>
    <t xml:space="preserve">PV-2026-0089</t>
  </si>
  <si>
    <t xml:space="preserve">PV-2026-0090</t>
  </si>
  <si>
    <t xml:space="preserve">PV-2026-0091</t>
  </si>
  <si>
    <t xml:space="preserve">PV-2026-0092</t>
  </si>
  <si>
    <t xml:space="preserve">PV-2026-0093</t>
  </si>
  <si>
    <t xml:space="preserve">PV-2026-0094</t>
  </si>
  <si>
    <t xml:space="preserve">PV-2026-0095</t>
  </si>
  <si>
    <t xml:space="preserve">PV-2026-0096</t>
  </si>
  <si>
    <t xml:space="preserve">PV-2026-0097</t>
  </si>
  <si>
    <t xml:space="preserve">PV-2026-0098</t>
  </si>
  <si>
    <t xml:space="preserve">PV-2026-0099</t>
  </si>
  <si>
    <t xml:space="preserve">PV-2026-0100</t>
  </si>
  <si>
    <t xml:space="preserve">Somnolence</t>
  </si>
  <si>
    <t xml:space="preserve">PV-2026-0101</t>
  </si>
  <si>
    <t xml:space="preserve">PV-2026-0102</t>
  </si>
  <si>
    <t xml:space="preserve">PV-2026-0103</t>
  </si>
  <si>
    <t xml:space="preserve">PV-2026-0104</t>
  </si>
  <si>
    <t xml:space="preserve">PV-2026-0105</t>
  </si>
  <si>
    <t xml:space="preserve">PV-2026-0106</t>
  </si>
  <si>
    <t xml:space="preserve">PV-2026-0107</t>
  </si>
  <si>
    <t xml:space="preserve">PV-2026-0108</t>
  </si>
  <si>
    <t xml:space="preserve">PV-2026-0109</t>
  </si>
  <si>
    <t xml:space="preserve">PV-2026-0110</t>
  </si>
  <si>
    <t xml:space="preserve">PV-2026-0111</t>
  </si>
  <si>
    <t xml:space="preserve">PV-2026-0112</t>
  </si>
  <si>
    <t xml:space="preserve">PV-2026-0113</t>
  </si>
  <si>
    <t xml:space="preserve">PV-2026-0114</t>
  </si>
  <si>
    <t xml:space="preserve">PV-2026-0115</t>
  </si>
  <si>
    <t xml:space="preserve">PV-2026-0116</t>
  </si>
  <si>
    <t xml:space="preserve">PV-2026-0117</t>
  </si>
  <si>
    <t xml:space="preserve">PV-2026-0118</t>
  </si>
  <si>
    <t xml:space="preserve">PV-2026-0119</t>
  </si>
  <si>
    <t xml:space="preserve">PV-2026-0120</t>
  </si>
  <si>
    <t xml:space="preserve">PV-2026-0121</t>
  </si>
  <si>
    <t xml:space="preserve">PV-2026-0122</t>
  </si>
  <si>
    <t xml:space="preserve">PV-2026-0123</t>
  </si>
  <si>
    <t xml:space="preserve">PV-2026-0124</t>
  </si>
  <si>
    <t xml:space="preserve">PV-2026-0125</t>
  </si>
  <si>
    <t xml:space="preserve">PV-2026-0126</t>
  </si>
  <si>
    <t xml:space="preserve">PV-2026-0127</t>
  </si>
  <si>
    <t xml:space="preserve">PV-2026-0128</t>
  </si>
  <si>
    <t xml:space="preserve">PV-2026-0129</t>
  </si>
  <si>
    <t xml:space="preserve">Abdominal pain</t>
  </si>
  <si>
    <t xml:space="preserve">PV-2026-0130</t>
  </si>
  <si>
    <t xml:space="preserve">PV-2026-0131</t>
  </si>
  <si>
    <t xml:space="preserve">PV-2026-0132</t>
  </si>
  <si>
    <t xml:space="preserve">PV-2026-0133</t>
  </si>
  <si>
    <t xml:space="preserve">PV-2026-0134</t>
  </si>
  <si>
    <t xml:space="preserve">PV-2026-0135</t>
  </si>
  <si>
    <t xml:space="preserve">PV-2026-0136</t>
  </si>
  <si>
    <t xml:space="preserve">PV-2026-0137</t>
  </si>
  <si>
    <t xml:space="preserve">PV-2026-0138</t>
  </si>
  <si>
    <t xml:space="preserve">PV-2026-0139</t>
  </si>
  <si>
    <t xml:space="preserve">PV-2026-0140</t>
  </si>
  <si>
    <t xml:space="preserve">PV-2026-0141</t>
  </si>
  <si>
    <t xml:space="preserve">PV-2026-0142</t>
  </si>
  <si>
    <t xml:space="preserve">PV-2026-0143</t>
  </si>
  <si>
    <t xml:space="preserve">PV-2026-0144</t>
  </si>
  <si>
    <t xml:space="preserve">PV-2026-0145</t>
  </si>
  <si>
    <t xml:space="preserve">PV-2026-0146</t>
  </si>
  <si>
    <t xml:space="preserve">PV-2026-0147</t>
  </si>
  <si>
    <t xml:space="preserve">PV-2026-0148</t>
  </si>
  <si>
    <t xml:space="preserve">PV-2026-0149</t>
  </si>
  <si>
    <t xml:space="preserve">PV-2026-0150</t>
  </si>
  <si>
    <t xml:space="preserve">PV-2026-0151</t>
  </si>
  <si>
    <t xml:space="preserve">PV-2026-0152</t>
  </si>
  <si>
    <t xml:space="preserve">PV-2026-0153</t>
  </si>
  <si>
    <t xml:space="preserve">PV-2026-0154</t>
  </si>
  <si>
    <t xml:space="preserve">Injury, poisoning and procedural complications</t>
  </si>
  <si>
    <t xml:space="preserve">Fall</t>
  </si>
  <si>
    <t xml:space="preserve">PV-2026-0155</t>
  </si>
  <si>
    <t xml:space="preserve">PV-2026-0156</t>
  </si>
  <si>
    <t xml:space="preserve">PV-2026-0157</t>
  </si>
  <si>
    <t xml:space="preserve">PV-2026-0158</t>
  </si>
  <si>
    <t xml:space="preserve">PV-2026-0159</t>
  </si>
  <si>
    <t xml:space="preserve">PV-2026-0160</t>
  </si>
  <si>
    <t xml:space="preserve">PV-2026-0161</t>
  </si>
  <si>
    <t xml:space="preserve">PV-2026-0162</t>
  </si>
  <si>
    <t xml:space="preserve">PV-2026-0163</t>
  </si>
  <si>
    <t xml:space="preserve">PV-2026-0164</t>
  </si>
  <si>
    <t xml:space="preserve">PV-2026-0165</t>
  </si>
  <si>
    <t xml:space="preserve">PV-2026-0166</t>
  </si>
  <si>
    <t xml:space="preserve">PV-2026-0167</t>
  </si>
  <si>
    <t xml:space="preserve">PV-2026-0168</t>
  </si>
  <si>
    <t xml:space="preserve">PV-2026-0169</t>
  </si>
  <si>
    <t xml:space="preserve">PV-2026-0170</t>
  </si>
  <si>
    <t xml:space="preserve">PV-2026-0171</t>
  </si>
  <si>
    <t xml:space="preserve">PV-2026-0172</t>
  </si>
  <si>
    <t xml:space="preserve">PV-2026-0173</t>
  </si>
  <si>
    <t xml:space="preserve">PV-2026-0174</t>
  </si>
  <si>
    <t xml:space="preserve">PV-2026-0175</t>
  </si>
  <si>
    <t xml:space="preserve">PV-2026-0176</t>
  </si>
  <si>
    <t xml:space="preserve">PV-2026-0177</t>
  </si>
  <si>
    <t xml:space="preserve">PV-2026-0178</t>
  </si>
  <si>
    <t xml:space="preserve">PV-2026-0179</t>
  </si>
  <si>
    <t xml:space="preserve">PV-2026-0180</t>
  </si>
  <si>
    <t xml:space="preserve">PV-2026-0181</t>
  </si>
  <si>
    <t xml:space="preserve">Overdose</t>
  </si>
  <si>
    <t xml:space="preserve">PV-2026-0182</t>
  </si>
  <si>
    <t xml:space="preserve">PV-2026-0183</t>
  </si>
  <si>
    <t xml:space="preserve">PV-2026-0184</t>
  </si>
  <si>
    <t xml:space="preserve">PV-2026-0185</t>
  </si>
  <si>
    <t xml:space="preserve">PV-2026-0186</t>
  </si>
  <si>
    <t xml:space="preserve">PV-2026-0187</t>
  </si>
  <si>
    <t xml:space="preserve">PV-2026-0188</t>
  </si>
  <si>
    <t xml:space="preserve">PV-2026-0189</t>
  </si>
  <si>
    <t xml:space="preserve">PV-2026-0190</t>
  </si>
  <si>
    <t xml:space="preserve">PV-2026-0191</t>
  </si>
  <si>
    <t xml:space="preserve">PV-2026-0192</t>
  </si>
  <si>
    <t xml:space="preserve">PV-2026-0193</t>
  </si>
  <si>
    <t xml:space="preserve">PV-2026-0194</t>
  </si>
  <si>
    <t xml:space="preserve">PV-2026-0195</t>
  </si>
  <si>
    <t xml:space="preserve">PV-2026-0196</t>
  </si>
  <si>
    <t xml:space="preserve">PV-2026-0197</t>
  </si>
  <si>
    <t xml:space="preserve">Medication error</t>
  </si>
  <si>
    <t xml:space="preserve">PV-2026-0198</t>
  </si>
  <si>
    <t xml:space="preserve">PV-2026-0199</t>
  </si>
  <si>
    <t xml:space="preserve">PV-2026-0200</t>
  </si>
  <si>
    <t xml:space="preserve">PV-2026-0201</t>
  </si>
  <si>
    <t xml:space="preserve">PV-2026-0202</t>
  </si>
  <si>
    <t xml:space="preserve">PV-2026-0203</t>
  </si>
  <si>
    <t xml:space="preserve">PV-2026-0204</t>
  </si>
  <si>
    <t xml:space="preserve">PV-2026-0205</t>
  </si>
  <si>
    <t xml:space="preserve">PV-2026-0206</t>
  </si>
  <si>
    <t xml:space="preserve">PV-2026-0207</t>
  </si>
  <si>
    <t xml:space="preserve">PV-2026-0208</t>
  </si>
  <si>
    <t xml:space="preserve">PV-2026-0209</t>
  </si>
  <si>
    <t xml:space="preserve">PV-2026-0210</t>
  </si>
  <si>
    <t xml:space="preserve">PV-2026-0211</t>
  </si>
  <si>
    <t xml:space="preserve">PV-2026-0212</t>
  </si>
  <si>
    <t xml:space="preserve">PV-2026-0213</t>
  </si>
  <si>
    <t xml:space="preserve">PV-2026-0214</t>
  </si>
  <si>
    <t xml:space="preserve">PV-2026-0215</t>
  </si>
  <si>
    <t xml:space="preserve">PV-2026-0216</t>
  </si>
  <si>
    <t xml:space="preserve">PV-2026-0217</t>
  </si>
  <si>
    <t xml:space="preserve">PV-2026-0218</t>
  </si>
  <si>
    <t xml:space="preserve">PV-2026-0219</t>
  </si>
  <si>
    <t xml:space="preserve">PV-2026-0220</t>
  </si>
  <si>
    <t xml:space="preserve">PV-2026-0221</t>
  </si>
  <si>
    <t xml:space="preserve">PV-2026-0222</t>
  </si>
  <si>
    <t xml:space="preserve">PV-2026-0223</t>
  </si>
  <si>
    <t xml:space="preserve">PV-2026-0224</t>
  </si>
  <si>
    <t xml:space="preserve">PV-2026-0225</t>
  </si>
  <si>
    <t xml:space="preserve">PV-2026-0226</t>
  </si>
  <si>
    <t xml:space="preserve">PV-2026-0227</t>
  </si>
  <si>
    <t xml:space="preserve">PV-2026-0228</t>
  </si>
  <si>
    <t xml:space="preserve">PV-2026-0229</t>
  </si>
  <si>
    <t xml:space="preserve">PV-2026-0230</t>
  </si>
  <si>
    <t xml:space="preserve">PV-2026-0231</t>
  </si>
  <si>
    <t xml:space="preserve">PV-2026-0232</t>
  </si>
  <si>
    <t xml:space="preserve">PV-2026-0233</t>
  </si>
  <si>
    <t xml:space="preserve">PV-2026-0234</t>
  </si>
  <si>
    <t xml:space="preserve">PV-2026-0235</t>
  </si>
  <si>
    <t xml:space="preserve">PV-2026-0236</t>
  </si>
  <si>
    <t xml:space="preserve">PV-2026-0237</t>
  </si>
  <si>
    <t xml:space="preserve">PV-2026-0238</t>
  </si>
  <si>
    <t xml:space="preserve">PV-2026-0239</t>
  </si>
  <si>
    <t xml:space="preserve">PV-2026-0240</t>
  </si>
  <si>
    <t xml:space="preserve">PV-2026-0241</t>
  </si>
  <si>
    <t xml:space="preserve">PV-2026-0242</t>
  </si>
  <si>
    <t xml:space="preserve">PV-2026-0243</t>
  </si>
  <si>
    <t xml:space="preserve">PV-2026-0244</t>
  </si>
  <si>
    <t xml:space="preserve">PV-2026-0245</t>
  </si>
  <si>
    <t xml:space="preserve">PV-2026-0246</t>
  </si>
  <si>
    <t xml:space="preserve">PV-2026-0247</t>
  </si>
  <si>
    <t xml:space="preserve">PV-2026-0248</t>
  </si>
  <si>
    <t xml:space="preserve">PV-2026-0249</t>
  </si>
  <si>
    <t xml:space="preserve">PV-2026-0250</t>
  </si>
  <si>
    <t xml:space="preserve">PV-2026-0251</t>
  </si>
  <si>
    <t xml:space="preserve">PV-2026-0252</t>
  </si>
  <si>
    <t xml:space="preserve">PV-2026-0253</t>
  </si>
  <si>
    <t xml:space="preserve">PV-2026-0254</t>
  </si>
  <si>
    <t xml:space="preserve">PV-2026-0255</t>
  </si>
  <si>
    <t xml:space="preserve">PV-2026-0256</t>
  </si>
  <si>
    <t xml:space="preserve">PV-2026-0257</t>
  </si>
  <si>
    <t xml:space="preserve">PV-2026-0258</t>
  </si>
  <si>
    <t xml:space="preserve">PV-2026-0259</t>
  </si>
  <si>
    <t xml:space="preserve">PV-2026-0260</t>
  </si>
  <si>
    <t xml:space="preserve">PV-2026-0261</t>
  </si>
  <si>
    <t xml:space="preserve">PV-2026-0262</t>
  </si>
  <si>
    <t xml:space="preserve">PV-2026-0263</t>
  </si>
  <si>
    <t xml:space="preserve">PV-2026-0264</t>
  </si>
  <si>
    <t xml:space="preserve">PV-2026-0265</t>
  </si>
  <si>
    <t xml:space="preserve">PV-2026-0266</t>
  </si>
  <si>
    <t xml:space="preserve">PV-2026-0267</t>
  </si>
  <si>
    <t xml:space="preserve">PV-2026-0268</t>
  </si>
  <si>
    <t xml:space="preserve">PV-2026-0269</t>
  </si>
  <si>
    <t xml:space="preserve">PV-2026-0270</t>
  </si>
  <si>
    <t xml:space="preserve">PV-2026-0271</t>
  </si>
  <si>
    <t xml:space="preserve">PV-2026-0272</t>
  </si>
  <si>
    <t xml:space="preserve">PV-2026-0273</t>
  </si>
  <si>
    <t xml:space="preserve">PV-2026-0274</t>
  </si>
  <si>
    <t xml:space="preserve">PV-2026-0275</t>
  </si>
  <si>
    <t xml:space="preserve">PV-2026-0276</t>
  </si>
  <si>
    <t xml:space="preserve">PV-2026-0277</t>
  </si>
  <si>
    <t xml:space="preserve">PV-2026-0278</t>
  </si>
  <si>
    <t xml:space="preserve">PV-2026-0279</t>
  </si>
  <si>
    <t xml:space="preserve">PV-2026-0280</t>
  </si>
  <si>
    <t xml:space="preserve">PV-2026-0281</t>
  </si>
  <si>
    <t xml:space="preserve">PV-2026-0282</t>
  </si>
  <si>
    <t xml:space="preserve">PV-2026-0283</t>
  </si>
  <si>
    <t xml:space="preserve">PV-2026-0284</t>
  </si>
  <si>
    <t xml:space="preserve">PV-2026-0285</t>
  </si>
  <si>
    <t xml:space="preserve">PV-2026-0286</t>
  </si>
  <si>
    <t xml:space="preserve">PV-2026-0287</t>
  </si>
  <si>
    <t xml:space="preserve">PV-2026-0288</t>
  </si>
  <si>
    <t xml:space="preserve">PV-2026-0289</t>
  </si>
  <si>
    <t xml:space="preserve">PV-2026-0290</t>
  </si>
  <si>
    <t xml:space="preserve">PV-2026-0291</t>
  </si>
  <si>
    <t xml:space="preserve">PV-2026-0292</t>
  </si>
  <si>
    <t xml:space="preserve">PV-2026-0293</t>
  </si>
  <si>
    <t xml:space="preserve">PV-2026-0294</t>
  </si>
  <si>
    <t xml:space="preserve">PV-2026-0295</t>
  </si>
  <si>
    <t xml:space="preserve">PV-2026-0296</t>
  </si>
  <si>
    <t xml:space="preserve">PV-2026-0297</t>
  </si>
  <si>
    <t xml:space="preserve">PV-2026-0298</t>
  </si>
  <si>
    <t xml:space="preserve">PV-2026-0299</t>
  </si>
  <si>
    <t xml:space="preserve">PV-2026-0300</t>
  </si>
  <si>
    <t xml:space="preserve">PV-2026-0301</t>
  </si>
  <si>
    <t xml:space="preserve">PV-2026-0302</t>
  </si>
  <si>
    <t xml:space="preserve">PV-2026-0303</t>
  </si>
  <si>
    <t xml:space="preserve">PV-2026-0304</t>
  </si>
  <si>
    <t xml:space="preserve">PV-2026-0305</t>
  </si>
  <si>
    <t xml:space="preserve">PV-2026-0306</t>
  </si>
  <si>
    <t xml:space="preserve">PV-2026-0307</t>
  </si>
  <si>
    <t xml:space="preserve">PV-2026-0308</t>
  </si>
  <si>
    <t xml:space="preserve">PV-2026-0309</t>
  </si>
  <si>
    <t xml:space="preserve">PV-2026-0310</t>
  </si>
  <si>
    <t xml:space="preserve">PV-2026-0311</t>
  </si>
  <si>
    <t xml:space="preserve">PV-2026-0312</t>
  </si>
  <si>
    <t xml:space="preserve">PV-2026-0313</t>
  </si>
  <si>
    <t xml:space="preserve">PV-2026-0314</t>
  </si>
  <si>
    <t xml:space="preserve">PV-2026-0315</t>
  </si>
  <si>
    <t xml:space="preserve">PV-2026-0316</t>
  </si>
  <si>
    <t xml:space="preserve">PV-2026-0317</t>
  </si>
  <si>
    <t xml:space="preserve">PV-2026-0318</t>
  </si>
  <si>
    <t xml:space="preserve">PV-2026-0319</t>
  </si>
  <si>
    <t xml:space="preserve">PV-2026-0320</t>
  </si>
  <si>
    <t xml:space="preserve">PV-2026-0321</t>
  </si>
  <si>
    <t xml:space="preserve">PV-2026-0322</t>
  </si>
  <si>
    <t xml:space="preserve">PV-2026-0323</t>
  </si>
  <si>
    <t xml:space="preserve">PV-2026-0324</t>
  </si>
  <si>
    <t xml:space="preserve">PV-2026-0325</t>
  </si>
  <si>
    <t xml:space="preserve">PV-2026-0326</t>
  </si>
  <si>
    <t xml:space="preserve">PV-2026-0327</t>
  </si>
  <si>
    <t xml:space="preserve">PV-2026-0328</t>
  </si>
  <si>
    <t xml:space="preserve">PV-2026-0329</t>
  </si>
  <si>
    <t xml:space="preserve">PV-2026-0330</t>
  </si>
  <si>
    <t xml:space="preserve">PV-2026-0331</t>
  </si>
  <si>
    <t xml:space="preserve">PV-2026-0332</t>
  </si>
  <si>
    <t xml:space="preserve">PV-2026-0333</t>
  </si>
  <si>
    <t xml:space="preserve">PV-2026-0334</t>
  </si>
  <si>
    <t xml:space="preserve">PV-2026-0335</t>
  </si>
  <si>
    <t xml:space="preserve">PV-2026-0336</t>
  </si>
  <si>
    <t xml:space="preserve">PV-2026-0337</t>
  </si>
  <si>
    <t xml:space="preserve">PV-2026-0338</t>
  </si>
  <si>
    <t xml:space="preserve">PV-2026-0339</t>
  </si>
  <si>
    <t xml:space="preserve">PV-2026-0340</t>
  </si>
  <si>
    <t xml:space="preserve">PV-2026-0341</t>
  </si>
  <si>
    <t xml:space="preserve">PV-2026-0342</t>
  </si>
  <si>
    <t xml:space="preserve">PV-2026-0343</t>
  </si>
  <si>
    <t xml:space="preserve">PV-2026-0344</t>
  </si>
  <si>
    <t xml:space="preserve">PV-2026-0345</t>
  </si>
  <si>
    <t xml:space="preserve">PV-2026-0346</t>
  </si>
  <si>
    <t xml:space="preserve">PV-2026-0347</t>
  </si>
  <si>
    <t xml:space="preserve">PV-2026-0348</t>
  </si>
  <si>
    <t xml:space="preserve">PV-2026-0349</t>
  </si>
  <si>
    <t xml:space="preserve">PV-2026-0350</t>
  </si>
  <si>
    <t xml:space="preserve">PV-2026-0351</t>
  </si>
  <si>
    <t xml:space="preserve">PV-2026-0352</t>
  </si>
  <si>
    <t xml:space="preserve">PV-2026-0353</t>
  </si>
  <si>
    <t xml:space="preserve">PV-2026-0354</t>
  </si>
  <si>
    <t xml:space="preserve">PV-2026-0355</t>
  </si>
  <si>
    <t xml:space="preserve">PV-2026-0356</t>
  </si>
  <si>
    <t xml:space="preserve">PV-2026-0357</t>
  </si>
  <si>
    <t xml:space="preserve">PV-2026-0358</t>
  </si>
  <si>
    <t xml:space="preserve">PV-2026-0359</t>
  </si>
  <si>
    <t xml:space="preserve">PV-2026-0360</t>
  </si>
  <si>
    <t xml:space="preserve">PV-2026-0361</t>
  </si>
  <si>
    <t xml:space="preserve">PV-2026-0362</t>
  </si>
  <si>
    <t xml:space="preserve">PV-2026-0363</t>
  </si>
  <si>
    <t xml:space="preserve">PV-2026-0364</t>
  </si>
  <si>
    <t xml:space="preserve">PV-2026-0365</t>
  </si>
  <si>
    <t xml:space="preserve">PV-2026-0366</t>
  </si>
  <si>
    <t xml:space="preserve">PV-2026-0367</t>
  </si>
  <si>
    <t xml:space="preserve">PV-2026-0368</t>
  </si>
  <si>
    <t xml:space="preserve">PV-2026-0369</t>
  </si>
  <si>
    <t xml:space="preserve">PV-2026-0370</t>
  </si>
  <si>
    <t xml:space="preserve">PV-2026-0371</t>
  </si>
  <si>
    <t xml:space="preserve">PV-2026-0372</t>
  </si>
  <si>
    <t xml:space="preserve">PV-2026-0373</t>
  </si>
  <si>
    <t xml:space="preserve">PV-2026-0374</t>
  </si>
  <si>
    <t xml:space="preserve">PV-2026-0375</t>
  </si>
  <si>
    <t xml:space="preserve">PV-2026-0376</t>
  </si>
  <si>
    <t xml:space="preserve">PV-2026-0377</t>
  </si>
  <si>
    <t xml:space="preserve">PV-2026-0378</t>
  </si>
  <si>
    <t xml:space="preserve">PV-2026-0379</t>
  </si>
  <si>
    <t xml:space="preserve">PV-2026-0380</t>
  </si>
  <si>
    <t xml:space="preserve">PV-2026-0381</t>
  </si>
  <si>
    <t xml:space="preserve">PV-2026-0382</t>
  </si>
  <si>
    <t xml:space="preserve">PV-2026-0383</t>
  </si>
  <si>
    <t xml:space="preserve">PV-2026-0384</t>
  </si>
  <si>
    <t xml:space="preserve">PV-2026-0385</t>
  </si>
  <si>
    <t xml:space="preserve">PV-2026-0386</t>
  </si>
  <si>
    <t xml:space="preserve">PV-2026-0387</t>
  </si>
  <si>
    <t xml:space="preserve">PV-2026-0388</t>
  </si>
  <si>
    <t xml:space="preserve">PV-2026-0389</t>
  </si>
  <si>
    <t xml:space="preserve">PV-2026-0390</t>
  </si>
  <si>
    <t xml:space="preserve">PV-2026-0391</t>
  </si>
  <si>
    <t xml:space="preserve">PV-2026-0392</t>
  </si>
  <si>
    <t xml:space="preserve">PV-2026-0393</t>
  </si>
  <si>
    <t xml:space="preserve">PV-2026-0394</t>
  </si>
  <si>
    <t xml:space="preserve">PV-2026-0395</t>
  </si>
  <si>
    <t xml:space="preserve">PV-2026-0396</t>
  </si>
  <si>
    <t xml:space="preserve">PV-2026-0397</t>
  </si>
  <si>
    <t xml:space="preserve">PV-2026-0398</t>
  </si>
  <si>
    <t xml:space="preserve">PV-2026-0399</t>
  </si>
  <si>
    <t xml:space="preserve">PV-2026-0400</t>
  </si>
  <si>
    <t xml:space="preserve">Report As Of:</t>
  </si>
  <si>
    <t xml:space="preserve">Total Cases</t>
  </si>
  <si>
    <t xml:space="preserve">% Serious Cases</t>
  </si>
  <si>
    <t xml:space="preserve">Queries Raised</t>
  </si>
  <si>
    <t xml:space="preserve">Avg Query Turnaround (days)</t>
  </si>
  <si>
    <t xml:space="preserve">% Queries Closed</t>
  </si>
  <si>
    <t xml:space="preserve">On-Time Submission Rate (Serious)</t>
  </si>
  <si>
    <t xml:space="preserve">Case Volume by Month</t>
  </si>
  <si>
    <t xml:space="preserve">MedDRA SOC Distribution</t>
  </si>
  <si>
    <t xml:space="preserve">Month</t>
  </si>
  <si>
    <t xml:space="preserve">Cases</t>
  </si>
  <si>
    <t xml:space="preserve">System Organ Class</t>
  </si>
  <si>
    <t xml:space="preserve">Query Type Distribution</t>
  </si>
  <si>
    <t xml:space="preserve">Query Turnaround Time (Closed Queries)</t>
  </si>
  <si>
    <t xml:space="preserve">Query Type</t>
  </si>
  <si>
    <t xml:space="preserve">Count</t>
  </si>
  <si>
    <t xml:space="preserve">Turnaround Bucket</t>
  </si>
  <si>
    <t xml:space="preserve">0-7 days</t>
  </si>
  <si>
    <t xml:space="preserve">8-15 days</t>
  </si>
  <si>
    <t xml:space="preserve">16-30 days</t>
  </si>
  <si>
    <t xml:space="preserve">30+ days</t>
  </si>
  <si>
    <t xml:space="preserve">Open Query Backlog Aging</t>
  </si>
  <si>
    <t xml:space="preserve">Seriousness Breakdown</t>
  </si>
  <si>
    <t xml:space="preserve">Aging Bucket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</si>
</sst>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-mmm\-yyyy"/>
    <numFmt numFmtId="166" formatCode="#,##0"/>
    <numFmt numFmtId="167" formatCode="0.0%"/>
    <numFmt numFmtId="168" formatCode="0.0"/>
    <numFmt numFmtId="169" formatCode="mmm\-yyyy"/>
    <numFmt numFmtId="170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C0504D"/>
      <rgbColor rgb="FFF9F9F9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595959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Case Volume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Dashboard!B12</c:f>
              <c:strCache>
                <c:ptCount val="1"/>
                <c:pt idx="0">
                  <c:v>Cases</c:v>
                </c:pt>
              </c:strCache>
            </c:strRef>
          </c:tx>
          <c:spPr>
            <a:solidFill>
              <a:srgbClr val="4a7ebb"/>
            </a:solidFill>
            <a:ln w="2016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Dashboard!$A$13:$A$30</c:f>
              <c:strCache>
                <c:ptCount val="18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  <c:pt idx="12">
                  <c:v>Query Type Distribution</c:v>
                </c:pt>
                <c:pt idx="13">
                  <c:v>Query Type</c:v>
                </c:pt>
                <c:pt idx="14">
                  <c:v>Missing Information</c:v>
                </c:pt>
                <c:pt idx="15">
                  <c:v>Data Inconsistency</c:v>
                </c:pt>
                <c:pt idx="16">
                  <c:v>MedDRA Coding Query</c:v>
                </c:pt>
                <c:pt idx="17">
                  <c:v>Causality Assessment</c:v>
                </c:pt>
              </c:strCache>
            </c:strRef>
          </c:cat>
          <c:val>
            <c:numRef>
              <c:f>Dashboard!$B$13:$B$30</c:f>
              <c:numCache>
                <c:formatCode>General</c:formatCode>
                <c:ptCount val="18"/>
                <c:pt idx="0">
                  <c:v>26</c:v>
                </c:pt>
                <c:pt idx="1">
                  <c:v>23</c:v>
                </c:pt>
                <c:pt idx="2">
                  <c:v>22</c:v>
                </c:pt>
                <c:pt idx="3">
                  <c:v>20</c:v>
                </c:pt>
                <c:pt idx="4">
                  <c:v>26</c:v>
                </c:pt>
                <c:pt idx="5">
                  <c:v>19</c:v>
                </c:pt>
                <c:pt idx="6">
                  <c:v>20</c:v>
                </c:pt>
                <c:pt idx="7">
                  <c:v>19</c:v>
                </c:pt>
                <c:pt idx="8">
                  <c:v>14</c:v>
                </c:pt>
                <c:pt idx="9">
                  <c:v>26</c:v>
                </c:pt>
                <c:pt idx="10">
                  <c:v>23</c:v>
                </c:pt>
                <c:pt idx="11">
                  <c:v>31</c:v>
                </c:pt>
                <c:pt idx="12">
                  <c:v>0</c:v>
                </c:pt>
                <c:pt idx="14">
                  <c:v>34</c:v>
                </c:pt>
                <c:pt idx="15">
                  <c:v>39</c:v>
                </c:pt>
                <c:pt idx="16">
                  <c:v>49</c:v>
                </c:pt>
                <c:pt idx="17">
                  <c:v>47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1033421"/>
        <c:axId val="68321613"/>
      </c:lineChart>
      <c:catAx>
        <c:axId val="510334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321613"/>
        <c:crosses val="autoZero"/>
        <c:auto val="1"/>
        <c:lblAlgn val="ctr"/>
        <c:lblOffset val="100"/>
        <c:noMultiLvlLbl val="0"/>
      </c:catAx>
      <c:valAx>
        <c:axId val="683216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0334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MedDRA SOC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Dashboard!$D$13:$D$22</c:f>
              <c:strCache>
                <c:ptCount val="10"/>
                <c:pt idx="0">
                  <c:v>Gastrointestinal disorders</c:v>
                </c:pt>
                <c:pt idx="1">
                  <c:v>Skin and subcutaneous tissue disorders</c:v>
                </c:pt>
                <c:pt idx="2">
                  <c:v>Nervous system disorders</c:v>
                </c:pt>
                <c:pt idx="3">
                  <c:v>Immune system disorders</c:v>
                </c:pt>
                <c:pt idx="4">
                  <c:v>Cardiac disorders</c:v>
                </c:pt>
                <c:pt idx="5">
                  <c:v>Injury, poisoning and procedural complications</c:v>
                </c:pt>
                <c:pt idx="6">
                  <c:v>General disorders and administration site conditions</c:v>
                </c:pt>
                <c:pt idx="7">
                  <c:v>Investigations</c:v>
                </c:pt>
                <c:pt idx="8">
                  <c:v>Psychiatric disorders</c:v>
                </c:pt>
                <c:pt idx="9">
                  <c:v>Renal and urinary disorders</c:v>
                </c:pt>
              </c:strCache>
            </c:strRef>
          </c:cat>
          <c:val>
            <c:numRef>
              <c:f>Dashboard!$E$13:$E$22</c:f>
              <c:numCache>
                <c:formatCode>General</c:formatCode>
                <c:ptCount val="10"/>
                <c:pt idx="0">
                  <c:v>43</c:v>
                </c:pt>
                <c:pt idx="1">
                  <c:v>41</c:v>
                </c:pt>
                <c:pt idx="2">
                  <c:v>34</c:v>
                </c:pt>
                <c:pt idx="3">
                  <c:v>47</c:v>
                </c:pt>
                <c:pt idx="4">
                  <c:v>42</c:v>
                </c:pt>
                <c:pt idx="5">
                  <c:v>27</c:v>
                </c:pt>
                <c:pt idx="6">
                  <c:v>48</c:v>
                </c:pt>
                <c:pt idx="7">
                  <c:v>40</c:v>
                </c:pt>
                <c:pt idx="8">
                  <c:v>47</c:v>
                </c:pt>
                <c:pt idx="9">
                  <c:v>31</c:v>
                </c:pt>
              </c:numCache>
            </c:numRef>
          </c:val>
        </c:ser>
        <c:gapWidth val="150"/>
        <c:overlap val="0"/>
        <c:axId val="8829311"/>
        <c:axId val="48726933"/>
      </c:barChart>
      <c:catAx>
        <c:axId val="8829311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726933"/>
        <c:crosses val="autoZero"/>
        <c:auto val="1"/>
        <c:lblAlgn val="ctr"/>
        <c:lblOffset val="100"/>
        <c:noMultiLvlLbl val="0"/>
      </c:catAx>
      <c:valAx>
        <c:axId val="487269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System Organ Class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293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Query Type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Dashboard!$A$27:$A$32</c:f>
              <c:strCache>
                <c:ptCount val="6"/>
                <c:pt idx="0">
                  <c:v>Missing Information</c:v>
                </c:pt>
                <c:pt idx="1">
                  <c:v>Data Inconsistency</c:v>
                </c:pt>
                <c:pt idx="2">
                  <c:v>MedDRA Coding Query</c:v>
                </c:pt>
                <c:pt idx="3">
                  <c:v>Causality Assessment</c:v>
                </c:pt>
                <c:pt idx="4">
                  <c:v>Follow-up Required</c:v>
                </c:pt>
                <c:pt idx="5">
                  <c:v>Source Document Discrepancy</c:v>
                </c:pt>
              </c:strCache>
            </c:strRef>
          </c:cat>
          <c:val>
            <c:numRef>
              <c:f>Dashboard!$B$27:$B$32</c:f>
              <c:numCache>
                <c:formatCode>General</c:formatCode>
                <c:ptCount val="6"/>
                <c:pt idx="0">
                  <c:v>34</c:v>
                </c:pt>
                <c:pt idx="1">
                  <c:v>39</c:v>
                </c:pt>
                <c:pt idx="2">
                  <c:v>49</c:v>
                </c:pt>
                <c:pt idx="3">
                  <c:v>47</c:v>
                </c:pt>
                <c:pt idx="4">
                  <c:v>31</c:v>
                </c:pt>
                <c:pt idx="5">
                  <c:v>42</c:v>
                </c:pt>
              </c:numCache>
            </c:numRef>
          </c:val>
        </c:ser>
        <c:gapWidth val="150"/>
        <c:overlap val="0"/>
        <c:axId val="15713587"/>
        <c:axId val="6296303"/>
      </c:barChart>
      <c:catAx>
        <c:axId val="157135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96303"/>
        <c:crosses val="autoZero"/>
        <c:auto val="1"/>
        <c:lblAlgn val="ctr"/>
        <c:lblOffset val="100"/>
        <c:noMultiLvlLbl val="0"/>
      </c:catAx>
      <c:valAx>
        <c:axId val="62963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7135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Query Turnaround Time (Closed Queries)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Dashboard!$D$27:$D$30</c:f>
              <c:strCache>
                <c:ptCount val="4"/>
                <c:pt idx="0">
                  <c:v>0-7 days</c:v>
                </c:pt>
                <c:pt idx="1">
                  <c:v>8-15 days</c:v>
                </c:pt>
                <c:pt idx="2">
                  <c:v>16-30 days</c:v>
                </c:pt>
                <c:pt idx="3">
                  <c:v>30+ days</c:v>
                </c:pt>
              </c:strCache>
            </c:strRef>
          </c:cat>
          <c:val>
            <c:numRef>
              <c:f>Dashboard!$E$27:$E$30</c:f>
              <c:numCache>
                <c:formatCode>General</c:formatCode>
                <c:ptCount val="4"/>
                <c:pt idx="0">
                  <c:v>33</c:v>
                </c:pt>
                <c:pt idx="1">
                  <c:v>56</c:v>
                </c:pt>
                <c:pt idx="2">
                  <c:v>72</c:v>
                </c:pt>
                <c:pt idx="3">
                  <c:v>27</c:v>
                </c:pt>
              </c:numCache>
            </c:numRef>
          </c:val>
        </c:ser>
        <c:gapWidth val="150"/>
        <c:overlap val="0"/>
        <c:axId val="65366127"/>
        <c:axId val="77936869"/>
      </c:barChart>
      <c:catAx>
        <c:axId val="6536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936869"/>
        <c:crosses val="autoZero"/>
        <c:auto val="1"/>
        <c:lblAlgn val="ctr"/>
        <c:lblOffset val="100"/>
        <c:noMultiLvlLbl val="0"/>
      </c:catAx>
      <c:valAx>
        <c:axId val="779368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3661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Open Query Backlog Aging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Dashboard!$A$35:$A$38</c:f>
              <c:strCache>
                <c:ptCount val="4"/>
                <c:pt idx="0">
                  <c:v>0-7 days</c:v>
                </c:pt>
                <c:pt idx="1">
                  <c:v>8-15 days</c:v>
                </c:pt>
                <c:pt idx="2">
                  <c:v>16-30 days</c:v>
                </c:pt>
                <c:pt idx="3">
                  <c:v>30+ days</c:v>
                </c:pt>
              </c:strCache>
            </c:strRef>
          </c:cat>
          <c:val>
            <c:numRef>
              <c:f>Dashboard!$B$35:$B$38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50</c:v>
                </c:pt>
              </c:numCache>
            </c:numRef>
          </c:val>
        </c:ser>
        <c:gapWidth val="150"/>
        <c:overlap val="0"/>
        <c:axId val="28202826"/>
        <c:axId val="79188580"/>
      </c:barChart>
      <c:catAx>
        <c:axId val="282028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188580"/>
        <c:crosses val="autoZero"/>
        <c:auto val="1"/>
        <c:lblAlgn val="ctr"/>
        <c:lblOffset val="100"/>
        <c:noMultiLvlLbl val="0"/>
      </c:catAx>
      <c:valAx>
        <c:axId val="791885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20282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Seriousness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Dashboard!$D$35:$D$36</c:f>
              <c:strCache>
                <c:ptCount val="2"/>
                <c:pt idx="0">
                  <c:v>Serious</c:v>
                </c:pt>
                <c:pt idx="1">
                  <c:v>Non-serious</c:v>
                </c:pt>
              </c:strCache>
            </c:strRef>
          </c:cat>
          <c:val>
            <c:numRef>
              <c:f>Dashboard!$E$35:$E$36</c:f>
              <c:numCache>
                <c:formatCode>General</c:formatCode>
                <c:ptCount val="2"/>
                <c:pt idx="0">
                  <c:v>119</c:v>
                </c:pt>
                <c:pt idx="1">
                  <c:v>281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131040</xdr:rowOff>
    </xdr:from>
    <xdr:to>
      <xdr:col>16</xdr:col>
      <xdr:colOff>255960</xdr:colOff>
      <xdr:row>14</xdr:row>
      <xdr:rowOff>87480</xdr:rowOff>
    </xdr:to>
    <xdr:graphicFrame>
      <xdr:nvGraphicFramePr>
        <xdr:cNvPr id="0" name="Chart 1"/>
        <xdr:cNvGraphicFramePr/>
      </xdr:nvGraphicFramePr>
      <xdr:xfrm>
        <a:off x="8787600" y="571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20</xdr:row>
      <xdr:rowOff>131040</xdr:rowOff>
    </xdr:from>
    <xdr:to>
      <xdr:col>16</xdr:col>
      <xdr:colOff>255960</xdr:colOff>
      <xdr:row>35</xdr:row>
      <xdr:rowOff>153000</xdr:rowOff>
    </xdr:to>
    <xdr:graphicFrame>
      <xdr:nvGraphicFramePr>
        <xdr:cNvPr id="1" name="Chart 2"/>
        <xdr:cNvGraphicFramePr/>
      </xdr:nvGraphicFramePr>
      <xdr:xfrm>
        <a:off x="8787600" y="4457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39</xdr:row>
      <xdr:rowOff>131040</xdr:rowOff>
    </xdr:from>
    <xdr:to>
      <xdr:col>16</xdr:col>
      <xdr:colOff>255960</xdr:colOff>
      <xdr:row>54</xdr:row>
      <xdr:rowOff>153000</xdr:rowOff>
    </xdr:to>
    <xdr:graphicFrame>
      <xdr:nvGraphicFramePr>
        <xdr:cNvPr id="2" name="Chart 3"/>
        <xdr:cNvGraphicFramePr/>
      </xdr:nvGraphicFramePr>
      <xdr:xfrm>
        <a:off x="8787600" y="80773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57</xdr:row>
      <xdr:rowOff>131040</xdr:rowOff>
    </xdr:from>
    <xdr:to>
      <xdr:col>16</xdr:col>
      <xdr:colOff>255960</xdr:colOff>
      <xdr:row>71</xdr:row>
      <xdr:rowOff>163440</xdr:rowOff>
    </xdr:to>
    <xdr:graphicFrame>
      <xdr:nvGraphicFramePr>
        <xdr:cNvPr id="3" name="Chart 4"/>
        <xdr:cNvGraphicFramePr/>
      </xdr:nvGraphicFramePr>
      <xdr:xfrm>
        <a:off x="8787600" y="1150632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0</xdr:colOff>
      <xdr:row>74</xdr:row>
      <xdr:rowOff>131040</xdr:rowOff>
    </xdr:from>
    <xdr:to>
      <xdr:col>16</xdr:col>
      <xdr:colOff>255960</xdr:colOff>
      <xdr:row>88</xdr:row>
      <xdr:rowOff>163800</xdr:rowOff>
    </xdr:to>
    <xdr:graphicFrame>
      <xdr:nvGraphicFramePr>
        <xdr:cNvPr id="4" name="Chart 5"/>
        <xdr:cNvGraphicFramePr/>
      </xdr:nvGraphicFramePr>
      <xdr:xfrm>
        <a:off x="8787600" y="147448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92</xdr:row>
      <xdr:rowOff>131040</xdr:rowOff>
    </xdr:from>
    <xdr:to>
      <xdr:col>14</xdr:col>
      <xdr:colOff>38880</xdr:colOff>
      <xdr:row>106</xdr:row>
      <xdr:rowOff>163800</xdr:rowOff>
    </xdr:to>
    <xdr:graphicFrame>
      <xdr:nvGraphicFramePr>
        <xdr:cNvPr id="5" name="Chart 6"/>
        <xdr:cNvGraphicFramePr/>
      </xdr:nvGraphicFramePr>
      <xdr:xfrm>
        <a:off x="8787600" y="1817388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awData" displayName="RawData" ref="A1:R401" headerRowCount="1" totalsRowCount="0" totalsRowShown="0">
  <autoFilter ref="A1:R401"/>
  <tableColumns count="18">
    <tableColumn id="1" name="Case_ID"/>
    <tableColumn id="2" name="Receipt_Date"/>
    <tableColumn id="3" name="Product"/>
    <tableColumn id="4" name="MedDRA_SOC"/>
    <tableColumn id="5" name="MedDRA_PT"/>
    <tableColumn id="6" name="Seriousness"/>
    <tableColumn id="7" name="Country"/>
    <tableColumn id="8" name="Reporter_Type"/>
    <tableColumn id="9" name="Query_Raised"/>
    <tableColumn id="10" name="Query_Type"/>
    <tableColumn id="11" name="Query_Open_Date"/>
    <tableColumn id="12" name="Query_Close_Date"/>
    <tableColumn id="13" name="Days_to_Close"/>
    <tableColumn id="14" name="Submission_Date"/>
    <tableColumn id="15" name="Regulatory_Deadline_Days"/>
    <tableColumn id="16" name="Days_to_Submission"/>
    <tableColumn id="17" name="Submitted_On_Time"/>
    <tableColumn id="18" name="Open_Query_Age_Day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tru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27.75" hidden="false" customHeight="true" outlineLevel="0" collapsed="false">
      <c r="A5" s="3" t="s">
        <v>3</v>
      </c>
    </row>
    <row r="6" customFormat="false" ht="15" hidden="false" customHeight="true" outlineLevel="0" collapsed="false">
      <c r="A6" s="3"/>
    </row>
    <row r="7" customFormat="false" ht="15" hidden="false" customHeight="false" outlineLevel="0" collapsed="false">
      <c r="A7" s="4" t="s">
        <v>4</v>
      </c>
    </row>
    <row r="8" customFormat="false" ht="27.75" hidden="false" customHeight="true" outlineLevel="0" collapsed="false">
      <c r="A8" s="3" t="s">
        <v>5</v>
      </c>
    </row>
    <row r="9" customFormat="false" ht="27.7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/>
    </row>
    <row r="11" customFormat="false" ht="15" hidden="false" customHeight="false" outlineLevel="0" collapsed="false">
      <c r="A11" s="4" t="s">
        <v>7</v>
      </c>
    </row>
    <row r="12" customFormat="false" ht="27.75" hidden="false" customHeight="true" outlineLevel="0" collapsed="false">
      <c r="A12" s="3" t="s">
        <v>8</v>
      </c>
    </row>
    <row r="13" customFormat="false" ht="27.75" hidden="false" customHeight="true" outlineLevel="0" collapsed="false">
      <c r="A13" s="3" t="s">
        <v>9</v>
      </c>
    </row>
    <row r="14" customFormat="false" ht="27.75" hidden="false" customHeight="true" outlineLevel="0" collapsed="false">
      <c r="A14" s="3" t="s">
        <v>10</v>
      </c>
    </row>
    <row r="15" customFormat="false" ht="27.75" hidden="false" customHeight="true" outlineLevel="0" collapsed="false">
      <c r="A15" s="3" t="s">
        <v>11</v>
      </c>
    </row>
    <row r="16" customFormat="false" ht="15" hidden="false" customHeight="true" outlineLevel="0" collapsed="false">
      <c r="A16" s="3"/>
    </row>
    <row r="17" customFormat="false" ht="15" hidden="false" customHeight="false" outlineLevel="0" collapsed="false">
      <c r="A17" s="4" t="s">
        <v>12</v>
      </c>
    </row>
    <row r="18" customFormat="false" ht="27.75" hidden="false" customHeight="true" outlineLevel="0" collapsed="false">
      <c r="A18" s="3" t="s">
        <v>13</v>
      </c>
    </row>
    <row r="19" customFormat="false" ht="27.75" hidden="false" customHeight="true" outlineLevel="0" collapsed="false">
      <c r="A19" s="3" t="s">
        <v>14</v>
      </c>
    </row>
    <row r="20" customFormat="false" ht="27.75" hidden="false" customHeight="true" outlineLevel="0" collapsed="false">
      <c r="A20" s="3" t="s">
        <v>15</v>
      </c>
    </row>
    <row r="21" customFormat="false" ht="15" hidden="false" customHeight="true" outlineLevel="0" collapsed="false">
      <c r="A21" s="3"/>
    </row>
    <row r="22" customFormat="false" ht="15" hidden="false" customHeight="false" outlineLevel="0" collapsed="false">
      <c r="A22" s="4" t="s">
        <v>16</v>
      </c>
    </row>
    <row r="23" customFormat="false" ht="27.75" hidden="false" customHeight="true" outlineLevel="0" collapsed="false">
      <c r="A23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3"/>
    <col collapsed="false" customWidth="true" hidden="false" outlineLevel="0" max="4" min="4" style="0" width="34"/>
    <col collapsed="false" customWidth="true" hidden="false" outlineLevel="0" max="5" min="5" style="0" width="24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20"/>
    <col collapsed="false" customWidth="true" hidden="false" outlineLevel="0" max="9" min="9" style="0" width="12"/>
    <col collapsed="false" customWidth="true" hidden="false" outlineLevel="0" max="10" min="10" style="0" width="22"/>
    <col collapsed="false" customWidth="true" hidden="false" outlineLevel="0" max="12" min="11" style="0" width="15"/>
    <col collapsed="false" customWidth="true" hidden="false" outlineLevel="0" max="13" min="13" style="0" width="13"/>
    <col collapsed="false" customWidth="true" hidden="false" outlineLevel="0" max="14" min="14" style="0" width="15"/>
    <col collapsed="false" customWidth="true" hidden="false" outlineLevel="0" max="15" min="15" style="0" width="17"/>
    <col collapsed="false" customWidth="true" hidden="false" outlineLevel="0" max="16" min="16" style="0" width="16"/>
    <col collapsed="false" customWidth="true" hidden="false" outlineLevel="0" max="17" min="17" style="0" width="15"/>
    <col collapsed="false" customWidth="true" hidden="false" outlineLevel="0" max="18" min="18" style="0" width="17"/>
  </cols>
  <sheetData>
    <row r="1" customFormat="false" ht="30" hidden="false" customHeight="true" outlineLevel="0" collapsed="false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29</v>
      </c>
      <c r="M1" s="5" t="s">
        <v>30</v>
      </c>
      <c r="N1" s="5" t="s">
        <v>31</v>
      </c>
      <c r="O1" s="5" t="s">
        <v>32</v>
      </c>
      <c r="P1" s="5" t="s">
        <v>33</v>
      </c>
      <c r="Q1" s="5" t="s">
        <v>34</v>
      </c>
      <c r="R1" s="5" t="s">
        <v>35</v>
      </c>
    </row>
    <row r="2" customFormat="false" ht="15" hidden="false" customHeight="false" outlineLevel="0" collapsed="false">
      <c r="A2" s="6" t="s">
        <v>36</v>
      </c>
      <c r="B2" s="7" t="n">
        <v>45772</v>
      </c>
      <c r="C2" s="6" t="s">
        <v>37</v>
      </c>
      <c r="D2" s="6" t="s">
        <v>38</v>
      </c>
      <c r="E2" s="6" t="s">
        <v>39</v>
      </c>
      <c r="F2" s="6" t="s">
        <v>40</v>
      </c>
      <c r="G2" s="6" t="s">
        <v>41</v>
      </c>
      <c r="H2" s="6" t="s">
        <v>42</v>
      </c>
      <c r="I2" s="6" t="s">
        <v>43</v>
      </c>
      <c r="J2" s="6"/>
      <c r="K2" s="6"/>
      <c r="L2" s="6"/>
      <c r="M2" s="6" t="str">
        <f aca="false">IF(AND(K2&lt;&gt;"",L2&lt;&gt;""),L2-K2,"")</f>
        <v/>
      </c>
      <c r="N2" s="7" t="n">
        <v>45780</v>
      </c>
      <c r="O2" s="6" t="n">
        <f aca="false">IF(F2="Serious",15,"N/A")</f>
        <v>15</v>
      </c>
      <c r="P2" s="6" t="n">
        <f aca="false">N2-B2</f>
        <v>8</v>
      </c>
      <c r="Q2" s="6" t="str">
        <f aca="false">IF(F2="Serious",IF(P2&lt;=O2,"Yes","No"),"N/A")</f>
        <v>Yes</v>
      </c>
      <c r="R2" s="6" t="str">
        <f aca="false">IF(AND(I2="Yes",L2=""),Dashboard!$B$2-K2,"")</f>
        <v/>
      </c>
    </row>
    <row r="3" customFormat="false" ht="15" hidden="false" customHeight="false" outlineLevel="0" collapsed="false">
      <c r="A3" s="6" t="s">
        <v>44</v>
      </c>
      <c r="B3" s="7" t="n">
        <v>45690</v>
      </c>
      <c r="C3" s="6" t="s">
        <v>37</v>
      </c>
      <c r="D3" s="6" t="s">
        <v>45</v>
      </c>
      <c r="E3" s="6" t="s">
        <v>46</v>
      </c>
      <c r="F3" s="6" t="s">
        <v>40</v>
      </c>
      <c r="G3" s="6" t="s">
        <v>47</v>
      </c>
      <c r="H3" s="6" t="s">
        <v>42</v>
      </c>
      <c r="I3" s="6" t="s">
        <v>43</v>
      </c>
      <c r="J3" s="6"/>
      <c r="K3" s="6"/>
      <c r="L3" s="6"/>
      <c r="M3" s="6" t="str">
        <f aca="false">IF(AND(K3&lt;&gt;"",L3&lt;&gt;""),L3-K3,"")</f>
        <v/>
      </c>
      <c r="N3" s="7" t="n">
        <v>45698</v>
      </c>
      <c r="O3" s="6" t="n">
        <f aca="false">IF(F3="Serious",15,"N/A")</f>
        <v>15</v>
      </c>
      <c r="P3" s="6" t="n">
        <f aca="false">N3-B3</f>
        <v>8</v>
      </c>
      <c r="Q3" s="6" t="str">
        <f aca="false">IF(F3="Serious",IF(P3&lt;=O3,"Yes","No"),"N/A")</f>
        <v>Yes</v>
      </c>
      <c r="R3" s="6" t="str">
        <f aca="false">IF(AND(I3="Yes",L3=""),Dashboard!$B$2-K3,"")</f>
        <v/>
      </c>
    </row>
    <row r="4" customFormat="false" ht="15" hidden="false" customHeight="false" outlineLevel="0" collapsed="false">
      <c r="A4" s="6" t="s">
        <v>48</v>
      </c>
      <c r="B4" s="7" t="n">
        <v>45883</v>
      </c>
      <c r="C4" s="6" t="s">
        <v>49</v>
      </c>
      <c r="D4" s="6" t="s">
        <v>50</v>
      </c>
      <c r="E4" s="6" t="s">
        <v>51</v>
      </c>
      <c r="F4" s="6" t="s">
        <v>52</v>
      </c>
      <c r="G4" s="6" t="s">
        <v>53</v>
      </c>
      <c r="H4" s="6" t="s">
        <v>54</v>
      </c>
      <c r="I4" s="6" t="s">
        <v>43</v>
      </c>
      <c r="J4" s="6"/>
      <c r="K4" s="6"/>
      <c r="L4" s="6"/>
      <c r="M4" s="6" t="str">
        <f aca="false">IF(AND(K4&lt;&gt;"",L4&lt;&gt;""),L4-K4,"")</f>
        <v/>
      </c>
      <c r="N4" s="7" t="n">
        <v>45909</v>
      </c>
      <c r="O4" s="6" t="str">
        <f aca="false">IF(F4="Serious",15,"N/A")</f>
        <v>N/A</v>
      </c>
      <c r="P4" s="6" t="n">
        <f aca="false">N4-B4</f>
        <v>26</v>
      </c>
      <c r="Q4" s="6" t="str">
        <f aca="false">IF(F4="Serious",IF(P4&lt;=O4,"Yes","No"),"N/A")</f>
        <v>N/A</v>
      </c>
      <c r="R4" s="6" t="str">
        <f aca="false">IF(AND(I4="Yes",L4=""),Dashboard!$B$2-K4,"")</f>
        <v/>
      </c>
    </row>
    <row r="5" customFormat="false" ht="15" hidden="false" customHeight="false" outlineLevel="0" collapsed="false">
      <c r="A5" s="6" t="s">
        <v>55</v>
      </c>
      <c r="B5" s="7" t="n">
        <v>45942</v>
      </c>
      <c r="C5" s="6" t="s">
        <v>56</v>
      </c>
      <c r="D5" s="6" t="s">
        <v>57</v>
      </c>
      <c r="E5" s="6" t="s">
        <v>58</v>
      </c>
      <c r="F5" s="6" t="s">
        <v>40</v>
      </c>
      <c r="G5" s="6" t="s">
        <v>59</v>
      </c>
      <c r="H5" s="6" t="s">
        <v>60</v>
      </c>
      <c r="I5" s="6" t="s">
        <v>61</v>
      </c>
      <c r="J5" s="6" t="s">
        <v>62</v>
      </c>
      <c r="K5" s="7" t="n">
        <v>45943</v>
      </c>
      <c r="L5" s="7" t="n">
        <v>45960</v>
      </c>
      <c r="M5" s="6" t="n">
        <f aca="false">IF(AND(K5&lt;&gt;"",L5&lt;&gt;""),L5-K5,"")</f>
        <v>17</v>
      </c>
      <c r="N5" s="7" t="n">
        <v>45964</v>
      </c>
      <c r="O5" s="6" t="n">
        <f aca="false">IF(F5="Serious",15,"N/A")</f>
        <v>15</v>
      </c>
      <c r="P5" s="6" t="n">
        <f aca="false">N5-B5</f>
        <v>22</v>
      </c>
      <c r="Q5" s="6" t="str">
        <f aca="false">IF(F5="Serious",IF(P5&lt;=O5,"Yes","No"),"N/A")</f>
        <v>No</v>
      </c>
      <c r="R5" s="6" t="str">
        <f aca="false">IF(AND(I5="Yes",L5=""),Dashboard!$B$2-K5,"")</f>
        <v/>
      </c>
    </row>
    <row r="6" customFormat="false" ht="15" hidden="false" customHeight="false" outlineLevel="0" collapsed="false">
      <c r="A6" s="6" t="s">
        <v>63</v>
      </c>
      <c r="B6" s="7" t="n">
        <v>45738</v>
      </c>
      <c r="C6" s="6" t="s">
        <v>64</v>
      </c>
      <c r="D6" s="6" t="s">
        <v>38</v>
      </c>
      <c r="E6" s="6" t="s">
        <v>65</v>
      </c>
      <c r="F6" s="6" t="s">
        <v>52</v>
      </c>
      <c r="G6" s="6" t="s">
        <v>66</v>
      </c>
      <c r="H6" s="6" t="s">
        <v>60</v>
      </c>
      <c r="I6" s="6" t="s">
        <v>61</v>
      </c>
      <c r="J6" s="6" t="s">
        <v>62</v>
      </c>
      <c r="K6" s="7" t="n">
        <v>45740</v>
      </c>
      <c r="L6" s="6"/>
      <c r="M6" s="6" t="str">
        <f aca="false">IF(AND(K6&lt;&gt;"",L6&lt;&gt;""),L6-K6,"")</f>
        <v/>
      </c>
      <c r="N6" s="7" t="n">
        <v>45798</v>
      </c>
      <c r="O6" s="6" t="str">
        <f aca="false">IF(F6="Serious",15,"N/A")</f>
        <v>N/A</v>
      </c>
      <c r="P6" s="6" t="n">
        <f aca="false">N6-B6</f>
        <v>60</v>
      </c>
      <c r="Q6" s="6" t="str">
        <f aca="false">IF(F6="Serious",IF(P6&lt;=O6,"Yes","No"),"N/A")</f>
        <v>N/A</v>
      </c>
      <c r="R6" s="6" t="n">
        <f aca="false">IF(AND(I6="Yes",L6=""),Dashboard!$B$2-K6,"")</f>
        <v>474</v>
      </c>
    </row>
    <row r="7" customFormat="false" ht="15" hidden="false" customHeight="false" outlineLevel="0" collapsed="false">
      <c r="A7" s="6" t="s">
        <v>67</v>
      </c>
      <c r="B7" s="7" t="n">
        <v>45761</v>
      </c>
      <c r="C7" s="6" t="s">
        <v>49</v>
      </c>
      <c r="D7" s="6" t="s">
        <v>38</v>
      </c>
      <c r="E7" s="6" t="s">
        <v>65</v>
      </c>
      <c r="F7" s="6" t="s">
        <v>52</v>
      </c>
      <c r="G7" s="6" t="s">
        <v>59</v>
      </c>
      <c r="H7" s="6" t="s">
        <v>60</v>
      </c>
      <c r="I7" s="6" t="s">
        <v>61</v>
      </c>
      <c r="J7" s="6" t="s">
        <v>62</v>
      </c>
      <c r="K7" s="7" t="n">
        <v>45763</v>
      </c>
      <c r="L7" s="7" t="n">
        <v>45771</v>
      </c>
      <c r="M7" s="6" t="n">
        <f aca="false">IF(AND(K7&lt;&gt;"",L7&lt;&gt;""),L7-K7,"")</f>
        <v>8</v>
      </c>
      <c r="N7" s="7" t="n">
        <v>45812</v>
      </c>
      <c r="O7" s="6" t="str">
        <f aca="false">IF(F7="Serious",15,"N/A")</f>
        <v>N/A</v>
      </c>
      <c r="P7" s="6" t="n">
        <f aca="false">N7-B7</f>
        <v>51</v>
      </c>
      <c r="Q7" s="6" t="str">
        <f aca="false">IF(F7="Serious",IF(P7&lt;=O7,"Yes","No"),"N/A")</f>
        <v>N/A</v>
      </c>
      <c r="R7" s="6" t="str">
        <f aca="false">IF(AND(I7="Yes",L7=""),Dashboard!$B$2-K7,"")</f>
        <v/>
      </c>
    </row>
    <row r="8" customFormat="false" ht="15" hidden="false" customHeight="false" outlineLevel="0" collapsed="false">
      <c r="A8" s="6" t="s">
        <v>68</v>
      </c>
      <c r="B8" s="7" t="n">
        <v>45908</v>
      </c>
      <c r="C8" s="6" t="s">
        <v>56</v>
      </c>
      <c r="D8" s="6" t="s">
        <v>69</v>
      </c>
      <c r="E8" s="6" t="s">
        <v>70</v>
      </c>
      <c r="F8" s="6" t="s">
        <v>52</v>
      </c>
      <c r="G8" s="6" t="s">
        <v>71</v>
      </c>
      <c r="H8" s="6" t="s">
        <v>42</v>
      </c>
      <c r="I8" s="6" t="s">
        <v>61</v>
      </c>
      <c r="J8" s="6" t="s">
        <v>62</v>
      </c>
      <c r="K8" s="7" t="n">
        <v>45909</v>
      </c>
      <c r="L8" s="7" t="n">
        <v>45913</v>
      </c>
      <c r="M8" s="6" t="n">
        <f aca="false">IF(AND(K8&lt;&gt;"",L8&lt;&gt;""),L8-K8,"")</f>
        <v>4</v>
      </c>
      <c r="N8" s="7" t="n">
        <v>45933</v>
      </c>
      <c r="O8" s="6" t="str">
        <f aca="false">IF(F8="Serious",15,"N/A")</f>
        <v>N/A</v>
      </c>
      <c r="P8" s="6" t="n">
        <f aca="false">N8-B8</f>
        <v>25</v>
      </c>
      <c r="Q8" s="6" t="str">
        <f aca="false">IF(F8="Serious",IF(P8&lt;=O8,"Yes","No"),"N/A")</f>
        <v>N/A</v>
      </c>
      <c r="R8" s="6" t="str">
        <f aca="false">IF(AND(I8="Yes",L8=""),Dashboard!$B$2-K8,"")</f>
        <v/>
      </c>
    </row>
    <row r="9" customFormat="false" ht="15" hidden="false" customHeight="false" outlineLevel="0" collapsed="false">
      <c r="A9" s="6" t="s">
        <v>72</v>
      </c>
      <c r="B9" s="7" t="n">
        <v>46068</v>
      </c>
      <c r="C9" s="6" t="s">
        <v>73</v>
      </c>
      <c r="D9" s="6" t="s">
        <v>45</v>
      </c>
      <c r="E9" s="6" t="s">
        <v>46</v>
      </c>
      <c r="F9" s="6" t="s">
        <v>52</v>
      </c>
      <c r="G9" s="6" t="s">
        <v>47</v>
      </c>
      <c r="H9" s="6" t="s">
        <v>42</v>
      </c>
      <c r="I9" s="6" t="s">
        <v>61</v>
      </c>
      <c r="J9" s="6" t="s">
        <v>74</v>
      </c>
      <c r="K9" s="7" t="n">
        <v>46075</v>
      </c>
      <c r="L9" s="6"/>
      <c r="M9" s="6" t="str">
        <f aca="false">IF(AND(K9&lt;&gt;"",L9&lt;&gt;""),L9-K9,"")</f>
        <v/>
      </c>
      <c r="N9" s="7" t="n">
        <v>46114</v>
      </c>
      <c r="O9" s="6" t="str">
        <f aca="false">IF(F9="Serious",15,"N/A")</f>
        <v>N/A</v>
      </c>
      <c r="P9" s="6" t="n">
        <f aca="false">N9-B9</f>
        <v>46</v>
      </c>
      <c r="Q9" s="6" t="str">
        <f aca="false">IF(F9="Serious",IF(P9&lt;=O9,"Yes","No"),"N/A")</f>
        <v>N/A</v>
      </c>
      <c r="R9" s="6" t="n">
        <f aca="false">IF(AND(I9="Yes",L9=""),Dashboard!$B$2-K9,"")</f>
        <v>139</v>
      </c>
    </row>
    <row r="10" customFormat="false" ht="15" hidden="false" customHeight="false" outlineLevel="0" collapsed="false">
      <c r="A10" s="6" t="s">
        <v>75</v>
      </c>
      <c r="B10" s="7" t="n">
        <v>46127</v>
      </c>
      <c r="C10" s="6" t="s">
        <v>56</v>
      </c>
      <c r="D10" s="6" t="s">
        <v>38</v>
      </c>
      <c r="E10" s="6" t="s">
        <v>39</v>
      </c>
      <c r="F10" s="6" t="s">
        <v>40</v>
      </c>
      <c r="G10" s="6" t="s">
        <v>47</v>
      </c>
      <c r="H10" s="6" t="s">
        <v>60</v>
      </c>
      <c r="I10" s="6" t="s">
        <v>61</v>
      </c>
      <c r="J10" s="6" t="s">
        <v>76</v>
      </c>
      <c r="K10" s="7" t="n">
        <v>46134</v>
      </c>
      <c r="L10" s="7" t="n">
        <v>46176</v>
      </c>
      <c r="M10" s="6" t="n">
        <f aca="false">IF(AND(K10&lt;&gt;"",L10&lt;&gt;""),L10-K10,"")</f>
        <v>42</v>
      </c>
      <c r="N10" s="7" t="n">
        <v>46136</v>
      </c>
      <c r="O10" s="6" t="n">
        <f aca="false">IF(F10="Serious",15,"N/A")</f>
        <v>15</v>
      </c>
      <c r="P10" s="6" t="n">
        <f aca="false">N10-B10</f>
        <v>9</v>
      </c>
      <c r="Q10" s="6" t="str">
        <f aca="false">IF(F10="Serious",IF(P10&lt;=O10,"Yes","No"),"N/A")</f>
        <v>Yes</v>
      </c>
      <c r="R10" s="6" t="str">
        <f aca="false">IF(AND(I10="Yes",L10=""),Dashboard!$B$2-K10,"")</f>
        <v/>
      </c>
    </row>
    <row r="11" customFormat="false" ht="15" hidden="false" customHeight="false" outlineLevel="0" collapsed="false">
      <c r="A11" s="6" t="s">
        <v>77</v>
      </c>
      <c r="B11" s="7" t="n">
        <v>45751</v>
      </c>
      <c r="C11" s="6" t="s">
        <v>37</v>
      </c>
      <c r="D11" s="6" t="s">
        <v>45</v>
      </c>
      <c r="E11" s="6" t="s">
        <v>46</v>
      </c>
      <c r="F11" s="6" t="s">
        <v>52</v>
      </c>
      <c r="G11" s="6" t="s">
        <v>41</v>
      </c>
      <c r="H11" s="6" t="s">
        <v>60</v>
      </c>
      <c r="I11" s="6" t="s">
        <v>61</v>
      </c>
      <c r="J11" s="6" t="s">
        <v>74</v>
      </c>
      <c r="K11" s="7" t="n">
        <v>45761</v>
      </c>
      <c r="L11" s="6"/>
      <c r="M11" s="6" t="str">
        <f aca="false">IF(AND(K11&lt;&gt;"",L11&lt;&gt;""),L11-K11,"")</f>
        <v/>
      </c>
      <c r="N11" s="7" t="n">
        <v>45789</v>
      </c>
      <c r="O11" s="6" t="str">
        <f aca="false">IF(F11="Serious",15,"N/A")</f>
        <v>N/A</v>
      </c>
      <c r="P11" s="6" t="n">
        <f aca="false">N11-B11</f>
        <v>38</v>
      </c>
      <c r="Q11" s="6" t="str">
        <f aca="false">IF(F11="Serious",IF(P11&lt;=O11,"Yes","No"),"N/A")</f>
        <v>N/A</v>
      </c>
      <c r="R11" s="6" t="n">
        <f aca="false">IF(AND(I11="Yes",L11=""),Dashboard!$B$2-K11,"")</f>
        <v>453</v>
      </c>
    </row>
    <row r="12" customFormat="false" ht="15" hidden="false" customHeight="false" outlineLevel="0" collapsed="false">
      <c r="A12" s="6" t="s">
        <v>78</v>
      </c>
      <c r="B12" s="7" t="n">
        <v>45915</v>
      </c>
      <c r="C12" s="6" t="s">
        <v>64</v>
      </c>
      <c r="D12" s="6" t="s">
        <v>79</v>
      </c>
      <c r="E12" s="6" t="s">
        <v>80</v>
      </c>
      <c r="F12" s="6" t="s">
        <v>52</v>
      </c>
      <c r="G12" s="6" t="s">
        <v>47</v>
      </c>
      <c r="H12" s="6" t="s">
        <v>60</v>
      </c>
      <c r="I12" s="6" t="s">
        <v>43</v>
      </c>
      <c r="J12" s="6"/>
      <c r="K12" s="6"/>
      <c r="L12" s="6"/>
      <c r="M12" s="6" t="str">
        <f aca="false">IF(AND(K12&lt;&gt;"",L12&lt;&gt;""),L12-K12,"")</f>
        <v/>
      </c>
      <c r="N12" s="7" t="n">
        <v>45927</v>
      </c>
      <c r="O12" s="6" t="str">
        <f aca="false">IF(F12="Serious",15,"N/A")</f>
        <v>N/A</v>
      </c>
      <c r="P12" s="6" t="n">
        <f aca="false">N12-B12</f>
        <v>12</v>
      </c>
      <c r="Q12" s="6" t="str">
        <f aca="false">IF(F12="Serious",IF(P12&lt;=O12,"Yes","No"),"N/A")</f>
        <v>N/A</v>
      </c>
      <c r="R12" s="6" t="str">
        <f aca="false">IF(AND(I12="Yes",L12=""),Dashboard!$B$2-K12,"")</f>
        <v/>
      </c>
    </row>
    <row r="13" customFormat="false" ht="15" hidden="false" customHeight="false" outlineLevel="0" collapsed="false">
      <c r="A13" s="6" t="s">
        <v>81</v>
      </c>
      <c r="B13" s="7" t="n">
        <v>45958</v>
      </c>
      <c r="C13" s="6" t="s">
        <v>49</v>
      </c>
      <c r="D13" s="6" t="s">
        <v>82</v>
      </c>
      <c r="E13" s="6" t="s">
        <v>83</v>
      </c>
      <c r="F13" s="6" t="s">
        <v>40</v>
      </c>
      <c r="G13" s="6" t="s">
        <v>41</v>
      </c>
      <c r="H13" s="6" t="s">
        <v>42</v>
      </c>
      <c r="I13" s="6" t="s">
        <v>43</v>
      </c>
      <c r="J13" s="6"/>
      <c r="K13" s="6"/>
      <c r="L13" s="6"/>
      <c r="M13" s="6" t="str">
        <f aca="false">IF(AND(K13&lt;&gt;"",L13&lt;&gt;""),L13-K13,"")</f>
        <v/>
      </c>
      <c r="N13" s="7" t="n">
        <v>45968</v>
      </c>
      <c r="O13" s="6" t="n">
        <f aca="false">IF(F13="Serious",15,"N/A")</f>
        <v>15</v>
      </c>
      <c r="P13" s="6" t="n">
        <f aca="false">N13-B13</f>
        <v>10</v>
      </c>
      <c r="Q13" s="6" t="str">
        <f aca="false">IF(F13="Serious",IF(P13&lt;=O13,"Yes","No"),"N/A")</f>
        <v>Yes</v>
      </c>
      <c r="R13" s="6" t="str">
        <f aca="false">IF(AND(I13="Yes",L13=""),Dashboard!$B$2-K13,"")</f>
        <v/>
      </c>
    </row>
    <row r="14" customFormat="false" ht="15" hidden="false" customHeight="false" outlineLevel="0" collapsed="false">
      <c r="A14" s="6" t="s">
        <v>84</v>
      </c>
      <c r="B14" s="7" t="n">
        <v>45766</v>
      </c>
      <c r="C14" s="6" t="s">
        <v>73</v>
      </c>
      <c r="D14" s="6" t="s">
        <v>85</v>
      </c>
      <c r="E14" s="6" t="s">
        <v>86</v>
      </c>
      <c r="F14" s="6" t="s">
        <v>40</v>
      </c>
      <c r="G14" s="6" t="s">
        <v>41</v>
      </c>
      <c r="H14" s="6" t="s">
        <v>42</v>
      </c>
      <c r="I14" s="6" t="s">
        <v>43</v>
      </c>
      <c r="J14" s="6"/>
      <c r="K14" s="6"/>
      <c r="L14" s="6"/>
      <c r="M14" s="6" t="str">
        <f aca="false">IF(AND(K14&lt;&gt;"",L14&lt;&gt;""),L14-K14,"")</f>
        <v/>
      </c>
      <c r="N14" s="7" t="n">
        <v>45768</v>
      </c>
      <c r="O14" s="6" t="n">
        <f aca="false">IF(F14="Serious",15,"N/A")</f>
        <v>15</v>
      </c>
      <c r="P14" s="6" t="n">
        <f aca="false">N14-B14</f>
        <v>2</v>
      </c>
      <c r="Q14" s="6" t="str">
        <f aca="false">IF(F14="Serious",IF(P14&lt;=O14,"Yes","No"),"N/A")</f>
        <v>Yes</v>
      </c>
      <c r="R14" s="6" t="str">
        <f aca="false">IF(AND(I14="Yes",L14=""),Dashboard!$B$2-K14,"")</f>
        <v/>
      </c>
    </row>
    <row r="15" customFormat="false" ht="15" hidden="false" customHeight="false" outlineLevel="0" collapsed="false">
      <c r="A15" s="6" t="s">
        <v>87</v>
      </c>
      <c r="B15" s="7" t="n">
        <v>45989</v>
      </c>
      <c r="C15" s="6" t="s">
        <v>49</v>
      </c>
      <c r="D15" s="6" t="s">
        <v>79</v>
      </c>
      <c r="E15" s="6" t="s">
        <v>80</v>
      </c>
      <c r="F15" s="6" t="s">
        <v>52</v>
      </c>
      <c r="G15" s="6" t="s">
        <v>88</v>
      </c>
      <c r="H15" s="6" t="s">
        <v>54</v>
      </c>
      <c r="I15" s="6" t="s">
        <v>61</v>
      </c>
      <c r="J15" s="6" t="s">
        <v>89</v>
      </c>
      <c r="K15" s="7" t="n">
        <v>45993</v>
      </c>
      <c r="L15" s="6"/>
      <c r="M15" s="6" t="str">
        <f aca="false">IF(AND(K15&lt;&gt;"",L15&lt;&gt;""),L15-K15,"")</f>
        <v/>
      </c>
      <c r="N15" s="7" t="n">
        <v>45999</v>
      </c>
      <c r="O15" s="6" t="str">
        <f aca="false">IF(F15="Serious",15,"N/A")</f>
        <v>N/A</v>
      </c>
      <c r="P15" s="6" t="n">
        <f aca="false">N15-B15</f>
        <v>10</v>
      </c>
      <c r="Q15" s="6" t="str">
        <f aca="false">IF(F15="Serious",IF(P15&lt;=O15,"Yes","No"),"N/A")</f>
        <v>N/A</v>
      </c>
      <c r="R15" s="6" t="n">
        <f aca="false">IF(AND(I15="Yes",L15=""),Dashboard!$B$2-K15,"")</f>
        <v>221</v>
      </c>
    </row>
    <row r="16" customFormat="false" ht="15" hidden="false" customHeight="false" outlineLevel="0" collapsed="false">
      <c r="A16" s="6" t="s">
        <v>90</v>
      </c>
      <c r="B16" s="7" t="n">
        <v>45745</v>
      </c>
      <c r="C16" s="6" t="s">
        <v>49</v>
      </c>
      <c r="D16" s="6" t="s">
        <v>45</v>
      </c>
      <c r="E16" s="6" t="s">
        <v>91</v>
      </c>
      <c r="F16" s="6" t="s">
        <v>52</v>
      </c>
      <c r="G16" s="6" t="s">
        <v>53</v>
      </c>
      <c r="H16" s="6" t="s">
        <v>42</v>
      </c>
      <c r="I16" s="6" t="s">
        <v>61</v>
      </c>
      <c r="J16" s="6" t="s">
        <v>62</v>
      </c>
      <c r="K16" s="7" t="n">
        <v>45754</v>
      </c>
      <c r="L16" s="6"/>
      <c r="M16" s="6" t="str">
        <f aca="false">IF(AND(K16&lt;&gt;"",L16&lt;&gt;""),L16-K16,"")</f>
        <v/>
      </c>
      <c r="N16" s="7" t="n">
        <v>45777</v>
      </c>
      <c r="O16" s="6" t="str">
        <f aca="false">IF(F16="Serious",15,"N/A")</f>
        <v>N/A</v>
      </c>
      <c r="P16" s="6" t="n">
        <f aca="false">N16-B16</f>
        <v>32</v>
      </c>
      <c r="Q16" s="6" t="str">
        <f aca="false">IF(F16="Serious",IF(P16&lt;=O16,"Yes","No"),"N/A")</f>
        <v>N/A</v>
      </c>
      <c r="R16" s="6" t="n">
        <f aca="false">IF(AND(I16="Yes",L16=""),Dashboard!$B$2-K16,"")</f>
        <v>460</v>
      </c>
    </row>
    <row r="17" customFormat="false" ht="15" hidden="false" customHeight="false" outlineLevel="0" collapsed="false">
      <c r="A17" s="6" t="s">
        <v>92</v>
      </c>
      <c r="B17" s="7" t="n">
        <v>45874</v>
      </c>
      <c r="C17" s="6" t="s">
        <v>64</v>
      </c>
      <c r="D17" s="6" t="s">
        <v>57</v>
      </c>
      <c r="E17" s="6" t="s">
        <v>58</v>
      </c>
      <c r="F17" s="6" t="s">
        <v>52</v>
      </c>
      <c r="G17" s="6" t="s">
        <v>66</v>
      </c>
      <c r="H17" s="6" t="s">
        <v>60</v>
      </c>
      <c r="I17" s="6" t="s">
        <v>43</v>
      </c>
      <c r="J17" s="6"/>
      <c r="K17" s="6"/>
      <c r="L17" s="6"/>
      <c r="M17" s="6" t="str">
        <f aca="false">IF(AND(K17&lt;&gt;"",L17&lt;&gt;""),L17-K17,"")</f>
        <v/>
      </c>
      <c r="N17" s="7" t="n">
        <v>45907</v>
      </c>
      <c r="O17" s="6" t="str">
        <f aca="false">IF(F17="Serious",15,"N/A")</f>
        <v>N/A</v>
      </c>
      <c r="P17" s="6" t="n">
        <f aca="false">N17-B17</f>
        <v>33</v>
      </c>
      <c r="Q17" s="6" t="str">
        <f aca="false">IF(F17="Serious",IF(P17&lt;=O17,"Yes","No"),"N/A")</f>
        <v>N/A</v>
      </c>
      <c r="R17" s="6" t="str">
        <f aca="false">IF(AND(I17="Yes",L17=""),Dashboard!$B$2-K17,"")</f>
        <v/>
      </c>
    </row>
    <row r="18" customFormat="false" ht="15" hidden="false" customHeight="false" outlineLevel="0" collapsed="false">
      <c r="A18" s="6" t="s">
        <v>93</v>
      </c>
      <c r="B18" s="7" t="n">
        <v>45781</v>
      </c>
      <c r="C18" s="6" t="s">
        <v>56</v>
      </c>
      <c r="D18" s="6" t="s">
        <v>57</v>
      </c>
      <c r="E18" s="6" t="s">
        <v>94</v>
      </c>
      <c r="F18" s="6" t="s">
        <v>52</v>
      </c>
      <c r="G18" s="6" t="s">
        <v>47</v>
      </c>
      <c r="H18" s="6" t="s">
        <v>60</v>
      </c>
      <c r="I18" s="6" t="s">
        <v>61</v>
      </c>
      <c r="J18" s="6" t="s">
        <v>89</v>
      </c>
      <c r="K18" s="7" t="n">
        <v>45782</v>
      </c>
      <c r="L18" s="7" t="n">
        <v>45814</v>
      </c>
      <c r="M18" s="6" t="n">
        <f aca="false">IF(AND(K18&lt;&gt;"",L18&lt;&gt;""),L18-K18,"")</f>
        <v>32</v>
      </c>
      <c r="N18" s="7" t="n">
        <v>45841</v>
      </c>
      <c r="O18" s="6" t="str">
        <f aca="false">IF(F18="Serious",15,"N/A")</f>
        <v>N/A</v>
      </c>
      <c r="P18" s="6" t="n">
        <f aca="false">N18-B18</f>
        <v>60</v>
      </c>
      <c r="Q18" s="6" t="str">
        <f aca="false">IF(F18="Serious",IF(P18&lt;=O18,"Yes","No"),"N/A")</f>
        <v>N/A</v>
      </c>
      <c r="R18" s="6" t="str">
        <f aca="false">IF(AND(I18="Yes",L18=""),Dashboard!$B$2-K18,"")</f>
        <v/>
      </c>
    </row>
    <row r="19" customFormat="false" ht="15" hidden="false" customHeight="false" outlineLevel="0" collapsed="false">
      <c r="A19" s="6" t="s">
        <v>95</v>
      </c>
      <c r="B19" s="7" t="n">
        <v>45996</v>
      </c>
      <c r="C19" s="6" t="s">
        <v>37</v>
      </c>
      <c r="D19" s="6" t="s">
        <v>85</v>
      </c>
      <c r="E19" s="6" t="s">
        <v>86</v>
      </c>
      <c r="F19" s="6" t="s">
        <v>52</v>
      </c>
      <c r="G19" s="6" t="s">
        <v>59</v>
      </c>
      <c r="H19" s="6" t="s">
        <v>42</v>
      </c>
      <c r="I19" s="6" t="s">
        <v>43</v>
      </c>
      <c r="J19" s="6"/>
      <c r="K19" s="6"/>
      <c r="L19" s="6"/>
      <c r="M19" s="6" t="str">
        <f aca="false">IF(AND(K19&lt;&gt;"",L19&lt;&gt;""),L19-K19,"")</f>
        <v/>
      </c>
      <c r="N19" s="7" t="n">
        <v>46037</v>
      </c>
      <c r="O19" s="6" t="str">
        <f aca="false">IF(F19="Serious",15,"N/A")</f>
        <v>N/A</v>
      </c>
      <c r="P19" s="6" t="n">
        <f aca="false">N19-B19</f>
        <v>41</v>
      </c>
      <c r="Q19" s="6" t="str">
        <f aca="false">IF(F19="Serious",IF(P19&lt;=O19,"Yes","No"),"N/A")</f>
        <v>N/A</v>
      </c>
      <c r="R19" s="6" t="str">
        <f aca="false">IF(AND(I19="Yes",L19=""),Dashboard!$B$2-K19,"")</f>
        <v/>
      </c>
    </row>
    <row r="20" customFormat="false" ht="15" hidden="false" customHeight="false" outlineLevel="0" collapsed="false">
      <c r="A20" s="6" t="s">
        <v>96</v>
      </c>
      <c r="B20" s="7" t="n">
        <v>46142</v>
      </c>
      <c r="C20" s="6" t="s">
        <v>56</v>
      </c>
      <c r="D20" s="6" t="s">
        <v>69</v>
      </c>
      <c r="E20" s="6" t="s">
        <v>70</v>
      </c>
      <c r="F20" s="6" t="s">
        <v>40</v>
      </c>
      <c r="G20" s="6" t="s">
        <v>53</v>
      </c>
      <c r="H20" s="6" t="s">
        <v>60</v>
      </c>
      <c r="I20" s="6" t="s">
        <v>61</v>
      </c>
      <c r="J20" s="6" t="s">
        <v>74</v>
      </c>
      <c r="K20" s="7" t="n">
        <v>46143</v>
      </c>
      <c r="L20" s="7" t="n">
        <v>46182</v>
      </c>
      <c r="M20" s="6" t="n">
        <f aca="false">IF(AND(K20&lt;&gt;"",L20&lt;&gt;""),L20-K20,"")</f>
        <v>39</v>
      </c>
      <c r="N20" s="7" t="n">
        <v>46150</v>
      </c>
      <c r="O20" s="6" t="n">
        <f aca="false">IF(F20="Serious",15,"N/A")</f>
        <v>15</v>
      </c>
      <c r="P20" s="6" t="n">
        <f aca="false">N20-B20</f>
        <v>8</v>
      </c>
      <c r="Q20" s="6" t="str">
        <f aca="false">IF(F20="Serious",IF(P20&lt;=O20,"Yes","No"),"N/A")</f>
        <v>Yes</v>
      </c>
      <c r="R20" s="6" t="str">
        <f aca="false">IF(AND(I20="Yes",L20=""),Dashboard!$B$2-K20,"")</f>
        <v/>
      </c>
    </row>
    <row r="21" customFormat="false" ht="15" hidden="false" customHeight="false" outlineLevel="0" collapsed="false">
      <c r="A21" s="6" t="s">
        <v>97</v>
      </c>
      <c r="B21" s="7" t="n">
        <v>46005</v>
      </c>
      <c r="C21" s="6" t="s">
        <v>37</v>
      </c>
      <c r="D21" s="6" t="s">
        <v>57</v>
      </c>
      <c r="E21" s="6" t="s">
        <v>94</v>
      </c>
      <c r="F21" s="6" t="s">
        <v>40</v>
      </c>
      <c r="G21" s="6" t="s">
        <v>59</v>
      </c>
      <c r="H21" s="6" t="s">
        <v>60</v>
      </c>
      <c r="I21" s="6" t="s">
        <v>61</v>
      </c>
      <c r="J21" s="6" t="s">
        <v>98</v>
      </c>
      <c r="K21" s="7" t="n">
        <v>46007</v>
      </c>
      <c r="L21" s="7" t="n">
        <v>46036</v>
      </c>
      <c r="M21" s="6" t="n">
        <f aca="false">IF(AND(K21&lt;&gt;"",L21&lt;&gt;""),L21-K21,"")</f>
        <v>29</v>
      </c>
      <c r="N21" s="7" t="n">
        <v>46007</v>
      </c>
      <c r="O21" s="6" t="n">
        <f aca="false">IF(F21="Serious",15,"N/A")</f>
        <v>15</v>
      </c>
      <c r="P21" s="6" t="n">
        <f aca="false">N21-B21</f>
        <v>2</v>
      </c>
      <c r="Q21" s="6" t="str">
        <f aca="false">IF(F21="Serious",IF(P21&lt;=O21,"Yes","No"),"N/A")</f>
        <v>Yes</v>
      </c>
      <c r="R21" s="6" t="str">
        <f aca="false">IF(AND(I21="Yes",L21=""),Dashboard!$B$2-K21,"")</f>
        <v/>
      </c>
    </row>
    <row r="22" customFormat="false" ht="15" hidden="false" customHeight="false" outlineLevel="0" collapsed="false">
      <c r="A22" s="6" t="s">
        <v>99</v>
      </c>
      <c r="B22" s="7" t="n">
        <v>45673</v>
      </c>
      <c r="C22" s="6" t="s">
        <v>37</v>
      </c>
      <c r="D22" s="6" t="s">
        <v>57</v>
      </c>
      <c r="E22" s="6" t="s">
        <v>94</v>
      </c>
      <c r="F22" s="6" t="s">
        <v>52</v>
      </c>
      <c r="G22" s="6" t="s">
        <v>59</v>
      </c>
      <c r="H22" s="6" t="s">
        <v>54</v>
      </c>
      <c r="I22" s="6" t="s">
        <v>43</v>
      </c>
      <c r="J22" s="6"/>
      <c r="K22" s="6"/>
      <c r="L22" s="6"/>
      <c r="M22" s="6" t="str">
        <f aca="false">IF(AND(K22&lt;&gt;"",L22&lt;&gt;""),L22-K22,"")</f>
        <v/>
      </c>
      <c r="N22" s="7" t="n">
        <v>45688</v>
      </c>
      <c r="O22" s="6" t="str">
        <f aca="false">IF(F22="Serious",15,"N/A")</f>
        <v>N/A</v>
      </c>
      <c r="P22" s="6" t="n">
        <f aca="false">N22-B22</f>
        <v>15</v>
      </c>
      <c r="Q22" s="6" t="str">
        <f aca="false">IF(F22="Serious",IF(P22&lt;=O22,"Yes","No"),"N/A")</f>
        <v>N/A</v>
      </c>
      <c r="R22" s="6" t="str">
        <f aca="false">IF(AND(I22="Yes",L22=""),Dashboard!$B$2-K22,"")</f>
        <v/>
      </c>
    </row>
    <row r="23" customFormat="false" ht="15" hidden="false" customHeight="false" outlineLevel="0" collapsed="false">
      <c r="A23" s="6" t="s">
        <v>100</v>
      </c>
      <c r="B23" s="7" t="n">
        <v>46046</v>
      </c>
      <c r="C23" s="6" t="s">
        <v>37</v>
      </c>
      <c r="D23" s="6" t="s">
        <v>101</v>
      </c>
      <c r="E23" s="6" t="s">
        <v>102</v>
      </c>
      <c r="F23" s="6" t="s">
        <v>52</v>
      </c>
      <c r="G23" s="6" t="s">
        <v>41</v>
      </c>
      <c r="H23" s="6" t="s">
        <v>60</v>
      </c>
      <c r="I23" s="6" t="s">
        <v>43</v>
      </c>
      <c r="J23" s="6"/>
      <c r="K23" s="6"/>
      <c r="L23" s="6"/>
      <c r="M23" s="6" t="str">
        <f aca="false">IF(AND(K23&lt;&gt;"",L23&lt;&gt;""),L23-K23,"")</f>
        <v/>
      </c>
      <c r="N23" s="7" t="n">
        <v>46097</v>
      </c>
      <c r="O23" s="6" t="str">
        <f aca="false">IF(F23="Serious",15,"N/A")</f>
        <v>N/A</v>
      </c>
      <c r="P23" s="6" t="n">
        <f aca="false">N23-B23</f>
        <v>51</v>
      </c>
      <c r="Q23" s="6" t="str">
        <f aca="false">IF(F23="Serious",IF(P23&lt;=O23,"Yes","No"),"N/A")</f>
        <v>N/A</v>
      </c>
      <c r="R23" s="6" t="str">
        <f aca="false">IF(AND(I23="Yes",L23=""),Dashboard!$B$2-K23,"")</f>
        <v/>
      </c>
    </row>
    <row r="24" customFormat="false" ht="15" hidden="false" customHeight="false" outlineLevel="0" collapsed="false">
      <c r="A24" s="6" t="s">
        <v>103</v>
      </c>
      <c r="B24" s="7" t="n">
        <v>46156</v>
      </c>
      <c r="C24" s="6" t="s">
        <v>56</v>
      </c>
      <c r="D24" s="6" t="s">
        <v>57</v>
      </c>
      <c r="E24" s="6" t="s">
        <v>58</v>
      </c>
      <c r="F24" s="6" t="s">
        <v>40</v>
      </c>
      <c r="G24" s="6" t="s">
        <v>53</v>
      </c>
      <c r="H24" s="6" t="s">
        <v>42</v>
      </c>
      <c r="I24" s="6" t="s">
        <v>61</v>
      </c>
      <c r="J24" s="6" t="s">
        <v>62</v>
      </c>
      <c r="K24" s="7" t="n">
        <v>46157</v>
      </c>
      <c r="L24" s="7" t="n">
        <v>46172</v>
      </c>
      <c r="M24" s="6" t="n">
        <f aca="false">IF(AND(K24&lt;&gt;"",L24&lt;&gt;""),L24-K24,"")</f>
        <v>15</v>
      </c>
      <c r="N24" s="7" t="n">
        <v>46180</v>
      </c>
      <c r="O24" s="6" t="n">
        <f aca="false">IF(F24="Serious",15,"N/A")</f>
        <v>15</v>
      </c>
      <c r="P24" s="6" t="n">
        <f aca="false">N24-B24</f>
        <v>24</v>
      </c>
      <c r="Q24" s="6" t="str">
        <f aca="false">IF(F24="Serious",IF(P24&lt;=O24,"Yes","No"),"N/A")</f>
        <v>No</v>
      </c>
      <c r="R24" s="6" t="str">
        <f aca="false">IF(AND(I24="Yes",L24=""),Dashboard!$B$2-K24,"")</f>
        <v/>
      </c>
    </row>
    <row r="25" customFormat="false" ht="15" hidden="false" customHeight="false" outlineLevel="0" collapsed="false">
      <c r="A25" s="6" t="s">
        <v>104</v>
      </c>
      <c r="B25" s="7" t="n">
        <v>45819</v>
      </c>
      <c r="C25" s="6" t="s">
        <v>37</v>
      </c>
      <c r="D25" s="6" t="s">
        <v>85</v>
      </c>
      <c r="E25" s="6" t="s">
        <v>86</v>
      </c>
      <c r="F25" s="6" t="s">
        <v>52</v>
      </c>
      <c r="G25" s="6" t="s">
        <v>53</v>
      </c>
      <c r="H25" s="6" t="s">
        <v>60</v>
      </c>
      <c r="I25" s="6" t="s">
        <v>43</v>
      </c>
      <c r="J25" s="6"/>
      <c r="K25" s="6"/>
      <c r="L25" s="6"/>
      <c r="M25" s="6" t="str">
        <f aca="false">IF(AND(K25&lt;&gt;"",L25&lt;&gt;""),L25-K25,"")</f>
        <v/>
      </c>
      <c r="N25" s="7" t="n">
        <v>45849</v>
      </c>
      <c r="O25" s="6" t="str">
        <f aca="false">IF(F25="Serious",15,"N/A")</f>
        <v>N/A</v>
      </c>
      <c r="P25" s="6" t="n">
        <f aca="false">N25-B25</f>
        <v>30</v>
      </c>
      <c r="Q25" s="6" t="str">
        <f aca="false">IF(F25="Serious",IF(P25&lt;=O25,"Yes","No"),"N/A")</f>
        <v>N/A</v>
      </c>
      <c r="R25" s="6" t="str">
        <f aca="false">IF(AND(I25="Yes",L25=""),Dashboard!$B$2-K25,"")</f>
        <v/>
      </c>
    </row>
    <row r="26" customFormat="false" ht="15" hidden="false" customHeight="false" outlineLevel="0" collapsed="false">
      <c r="A26" s="6" t="s">
        <v>105</v>
      </c>
      <c r="B26" s="7" t="n">
        <v>45780</v>
      </c>
      <c r="C26" s="6" t="s">
        <v>64</v>
      </c>
      <c r="D26" s="6" t="s">
        <v>57</v>
      </c>
      <c r="E26" s="6" t="s">
        <v>94</v>
      </c>
      <c r="F26" s="6" t="s">
        <v>52</v>
      </c>
      <c r="G26" s="6" t="s">
        <v>59</v>
      </c>
      <c r="H26" s="6" t="s">
        <v>42</v>
      </c>
      <c r="I26" s="6" t="s">
        <v>61</v>
      </c>
      <c r="J26" s="6" t="s">
        <v>62</v>
      </c>
      <c r="K26" s="7" t="n">
        <v>45784</v>
      </c>
      <c r="L26" s="7" t="n">
        <v>45795</v>
      </c>
      <c r="M26" s="6" t="n">
        <f aca="false">IF(AND(K26&lt;&gt;"",L26&lt;&gt;""),L26-K26,"")</f>
        <v>11</v>
      </c>
      <c r="N26" s="7" t="n">
        <v>45801</v>
      </c>
      <c r="O26" s="6" t="str">
        <f aca="false">IF(F26="Serious",15,"N/A")</f>
        <v>N/A</v>
      </c>
      <c r="P26" s="6" t="n">
        <f aca="false">N26-B26</f>
        <v>21</v>
      </c>
      <c r="Q26" s="6" t="str">
        <f aca="false">IF(F26="Serious",IF(P26&lt;=O26,"Yes","No"),"N/A")</f>
        <v>N/A</v>
      </c>
      <c r="R26" s="6" t="str">
        <f aca="false">IF(AND(I26="Yes",L26=""),Dashboard!$B$2-K26,"")</f>
        <v/>
      </c>
    </row>
    <row r="27" customFormat="false" ht="15" hidden="false" customHeight="false" outlineLevel="0" collapsed="false">
      <c r="A27" s="6" t="s">
        <v>106</v>
      </c>
      <c r="B27" s="7" t="n">
        <v>46063</v>
      </c>
      <c r="C27" s="6" t="s">
        <v>56</v>
      </c>
      <c r="D27" s="6" t="s">
        <v>38</v>
      </c>
      <c r="E27" s="6" t="s">
        <v>65</v>
      </c>
      <c r="F27" s="6" t="s">
        <v>52</v>
      </c>
      <c r="G27" s="6" t="s">
        <v>41</v>
      </c>
      <c r="H27" s="6" t="s">
        <v>60</v>
      </c>
      <c r="I27" s="6" t="s">
        <v>61</v>
      </c>
      <c r="J27" s="6" t="s">
        <v>76</v>
      </c>
      <c r="K27" s="7" t="n">
        <v>46065</v>
      </c>
      <c r="L27" s="7" t="n">
        <v>46074</v>
      </c>
      <c r="M27" s="6" t="n">
        <f aca="false">IF(AND(K27&lt;&gt;"",L27&lt;&gt;""),L27-K27,"")</f>
        <v>9</v>
      </c>
      <c r="N27" s="7" t="n">
        <v>46084</v>
      </c>
      <c r="O27" s="6" t="str">
        <f aca="false">IF(F27="Serious",15,"N/A")</f>
        <v>N/A</v>
      </c>
      <c r="P27" s="6" t="n">
        <f aca="false">N27-B27</f>
        <v>21</v>
      </c>
      <c r="Q27" s="6" t="str">
        <f aca="false">IF(F27="Serious",IF(P27&lt;=O27,"Yes","No"),"N/A")</f>
        <v>N/A</v>
      </c>
      <c r="R27" s="6" t="str">
        <f aca="false">IF(AND(I27="Yes",L27=""),Dashboard!$B$2-K27,"")</f>
        <v/>
      </c>
    </row>
    <row r="28" customFormat="false" ht="15" hidden="false" customHeight="false" outlineLevel="0" collapsed="false">
      <c r="A28" s="6" t="s">
        <v>107</v>
      </c>
      <c r="B28" s="7" t="n">
        <v>45793</v>
      </c>
      <c r="C28" s="6" t="s">
        <v>73</v>
      </c>
      <c r="D28" s="6" t="s">
        <v>45</v>
      </c>
      <c r="E28" s="6" t="s">
        <v>46</v>
      </c>
      <c r="F28" s="6" t="s">
        <v>52</v>
      </c>
      <c r="G28" s="6" t="s">
        <v>53</v>
      </c>
      <c r="H28" s="6" t="s">
        <v>54</v>
      </c>
      <c r="I28" s="6" t="s">
        <v>43</v>
      </c>
      <c r="J28" s="6"/>
      <c r="K28" s="6"/>
      <c r="L28" s="6"/>
      <c r="M28" s="6" t="str">
        <f aca="false">IF(AND(K28&lt;&gt;"",L28&lt;&gt;""),L28-K28,"")</f>
        <v/>
      </c>
      <c r="N28" s="7" t="n">
        <v>45837</v>
      </c>
      <c r="O28" s="6" t="str">
        <f aca="false">IF(F28="Serious",15,"N/A")</f>
        <v>N/A</v>
      </c>
      <c r="P28" s="6" t="n">
        <f aca="false">N28-B28</f>
        <v>44</v>
      </c>
      <c r="Q28" s="6" t="str">
        <f aca="false">IF(F28="Serious",IF(P28&lt;=O28,"Yes","No"),"N/A")</f>
        <v>N/A</v>
      </c>
      <c r="R28" s="6" t="str">
        <f aca="false">IF(AND(I28="Yes",L28=""),Dashboard!$B$2-K28,"")</f>
        <v/>
      </c>
    </row>
    <row r="29" customFormat="false" ht="15" hidden="false" customHeight="false" outlineLevel="0" collapsed="false">
      <c r="A29" s="6" t="s">
        <v>108</v>
      </c>
      <c r="B29" s="7" t="n">
        <v>46199</v>
      </c>
      <c r="C29" s="6" t="s">
        <v>37</v>
      </c>
      <c r="D29" s="6" t="s">
        <v>85</v>
      </c>
      <c r="E29" s="6" t="s">
        <v>109</v>
      </c>
      <c r="F29" s="6" t="s">
        <v>52</v>
      </c>
      <c r="G29" s="6" t="s">
        <v>53</v>
      </c>
      <c r="H29" s="6" t="s">
        <v>54</v>
      </c>
      <c r="I29" s="6" t="s">
        <v>61</v>
      </c>
      <c r="J29" s="6" t="s">
        <v>89</v>
      </c>
      <c r="K29" s="7" t="n">
        <v>46208</v>
      </c>
      <c r="L29" s="6"/>
      <c r="M29" s="6" t="str">
        <f aca="false">IF(AND(K29&lt;&gt;"",L29&lt;&gt;""),L29-K29,"")</f>
        <v/>
      </c>
      <c r="N29" s="7" t="n">
        <v>46217</v>
      </c>
      <c r="O29" s="6" t="str">
        <f aca="false">IF(F29="Serious",15,"N/A")</f>
        <v>N/A</v>
      </c>
      <c r="P29" s="6" t="n">
        <f aca="false">N29-B29</f>
        <v>18</v>
      </c>
      <c r="Q29" s="6" t="str">
        <f aca="false">IF(F29="Serious",IF(P29&lt;=O29,"Yes","No"),"N/A")</f>
        <v>N/A</v>
      </c>
      <c r="R29" s="6" t="n">
        <f aca="false">IF(AND(I29="Yes",L29=""),Dashboard!$B$2-K29,"")</f>
        <v>6</v>
      </c>
    </row>
    <row r="30" customFormat="false" ht="15" hidden="false" customHeight="false" outlineLevel="0" collapsed="false">
      <c r="A30" s="6" t="s">
        <v>110</v>
      </c>
      <c r="B30" s="7" t="n">
        <v>46009</v>
      </c>
      <c r="C30" s="6" t="s">
        <v>56</v>
      </c>
      <c r="D30" s="6" t="s">
        <v>38</v>
      </c>
      <c r="E30" s="6" t="s">
        <v>65</v>
      </c>
      <c r="F30" s="6" t="s">
        <v>52</v>
      </c>
      <c r="G30" s="6" t="s">
        <v>71</v>
      </c>
      <c r="H30" s="6" t="s">
        <v>60</v>
      </c>
      <c r="I30" s="6" t="s">
        <v>43</v>
      </c>
      <c r="J30" s="6"/>
      <c r="K30" s="6"/>
      <c r="L30" s="6"/>
      <c r="M30" s="6" t="str">
        <f aca="false">IF(AND(K30&lt;&gt;"",L30&lt;&gt;""),L30-K30,"")</f>
        <v/>
      </c>
      <c r="N30" s="7" t="n">
        <v>46067</v>
      </c>
      <c r="O30" s="6" t="str">
        <f aca="false">IF(F30="Serious",15,"N/A")</f>
        <v>N/A</v>
      </c>
      <c r="P30" s="6" t="n">
        <f aca="false">N30-B30</f>
        <v>58</v>
      </c>
      <c r="Q30" s="6" t="str">
        <f aca="false">IF(F30="Serious",IF(P30&lt;=O30,"Yes","No"),"N/A")</f>
        <v>N/A</v>
      </c>
      <c r="R30" s="6" t="str">
        <f aca="false">IF(AND(I30="Yes",L30=""),Dashboard!$B$2-K30,"")</f>
        <v/>
      </c>
    </row>
    <row r="31" customFormat="false" ht="15" hidden="false" customHeight="false" outlineLevel="0" collapsed="false">
      <c r="A31" s="6" t="s">
        <v>111</v>
      </c>
      <c r="B31" s="7" t="n">
        <v>45941</v>
      </c>
      <c r="C31" s="6" t="s">
        <v>37</v>
      </c>
      <c r="D31" s="6" t="s">
        <v>79</v>
      </c>
      <c r="E31" s="6" t="s">
        <v>112</v>
      </c>
      <c r="F31" s="6" t="s">
        <v>52</v>
      </c>
      <c r="G31" s="6" t="s">
        <v>66</v>
      </c>
      <c r="H31" s="6" t="s">
        <v>60</v>
      </c>
      <c r="I31" s="6" t="s">
        <v>43</v>
      </c>
      <c r="J31" s="6"/>
      <c r="K31" s="6"/>
      <c r="L31" s="6"/>
      <c r="M31" s="6" t="str">
        <f aca="false">IF(AND(K31&lt;&gt;"",L31&lt;&gt;""),L31-K31,"")</f>
        <v/>
      </c>
      <c r="N31" s="7" t="n">
        <v>45981</v>
      </c>
      <c r="O31" s="6" t="str">
        <f aca="false">IF(F31="Serious",15,"N/A")</f>
        <v>N/A</v>
      </c>
      <c r="P31" s="6" t="n">
        <f aca="false">N31-B31</f>
        <v>40</v>
      </c>
      <c r="Q31" s="6" t="str">
        <f aca="false">IF(F31="Serious",IF(P31&lt;=O31,"Yes","No"),"N/A")</f>
        <v>N/A</v>
      </c>
      <c r="R31" s="6" t="str">
        <f aca="false">IF(AND(I31="Yes",L31=""),Dashboard!$B$2-K31,"")</f>
        <v/>
      </c>
    </row>
    <row r="32" customFormat="false" ht="15" hidden="false" customHeight="false" outlineLevel="0" collapsed="false">
      <c r="A32" s="6" t="s">
        <v>113</v>
      </c>
      <c r="B32" s="7" t="n">
        <v>46095</v>
      </c>
      <c r="C32" s="6" t="s">
        <v>64</v>
      </c>
      <c r="D32" s="6" t="s">
        <v>79</v>
      </c>
      <c r="E32" s="6" t="s">
        <v>80</v>
      </c>
      <c r="F32" s="6" t="s">
        <v>40</v>
      </c>
      <c r="G32" s="6" t="s">
        <v>71</v>
      </c>
      <c r="H32" s="6" t="s">
        <v>54</v>
      </c>
      <c r="I32" s="6" t="s">
        <v>61</v>
      </c>
      <c r="J32" s="6" t="s">
        <v>62</v>
      </c>
      <c r="K32" s="7" t="n">
        <v>46105</v>
      </c>
      <c r="L32" s="7" t="n">
        <v>46119</v>
      </c>
      <c r="M32" s="6" t="n">
        <f aca="false">IF(AND(K32&lt;&gt;"",L32&lt;&gt;""),L32-K32,"")</f>
        <v>14</v>
      </c>
      <c r="N32" s="7" t="n">
        <v>46102</v>
      </c>
      <c r="O32" s="6" t="n">
        <f aca="false">IF(F32="Serious",15,"N/A")</f>
        <v>15</v>
      </c>
      <c r="P32" s="6" t="n">
        <f aca="false">N32-B32</f>
        <v>7</v>
      </c>
      <c r="Q32" s="6" t="str">
        <f aca="false">IF(F32="Serious",IF(P32&lt;=O32,"Yes","No"),"N/A")</f>
        <v>Yes</v>
      </c>
      <c r="R32" s="6" t="str">
        <f aca="false">IF(AND(I32="Yes",L32=""),Dashboard!$B$2-K32,"")</f>
        <v/>
      </c>
    </row>
    <row r="33" customFormat="false" ht="15" hidden="false" customHeight="false" outlineLevel="0" collapsed="false">
      <c r="A33" s="6" t="s">
        <v>114</v>
      </c>
      <c r="B33" s="7" t="n">
        <v>45698</v>
      </c>
      <c r="C33" s="6" t="s">
        <v>73</v>
      </c>
      <c r="D33" s="6" t="s">
        <v>57</v>
      </c>
      <c r="E33" s="6" t="s">
        <v>94</v>
      </c>
      <c r="F33" s="6" t="s">
        <v>52</v>
      </c>
      <c r="G33" s="6" t="s">
        <v>59</v>
      </c>
      <c r="H33" s="6" t="s">
        <v>42</v>
      </c>
      <c r="I33" s="6" t="s">
        <v>43</v>
      </c>
      <c r="J33" s="6"/>
      <c r="K33" s="6"/>
      <c r="L33" s="6"/>
      <c r="M33" s="6" t="str">
        <f aca="false">IF(AND(K33&lt;&gt;"",L33&lt;&gt;""),L33-K33,"")</f>
        <v/>
      </c>
      <c r="N33" s="7" t="n">
        <v>45742</v>
      </c>
      <c r="O33" s="6" t="str">
        <f aca="false">IF(F33="Serious",15,"N/A")</f>
        <v>N/A</v>
      </c>
      <c r="P33" s="6" t="n">
        <f aca="false">N33-B33</f>
        <v>44</v>
      </c>
      <c r="Q33" s="6" t="str">
        <f aca="false">IF(F33="Serious",IF(P33&lt;=O33,"Yes","No"),"N/A")</f>
        <v>N/A</v>
      </c>
      <c r="R33" s="6" t="str">
        <f aca="false">IF(AND(I33="Yes",L33=""),Dashboard!$B$2-K33,"")</f>
        <v/>
      </c>
    </row>
    <row r="34" customFormat="false" ht="15" hidden="false" customHeight="false" outlineLevel="0" collapsed="false">
      <c r="A34" s="6" t="s">
        <v>115</v>
      </c>
      <c r="B34" s="7" t="n">
        <v>45816</v>
      </c>
      <c r="C34" s="6" t="s">
        <v>56</v>
      </c>
      <c r="D34" s="6" t="s">
        <v>82</v>
      </c>
      <c r="E34" s="6" t="s">
        <v>116</v>
      </c>
      <c r="F34" s="6" t="s">
        <v>52</v>
      </c>
      <c r="G34" s="6" t="s">
        <v>53</v>
      </c>
      <c r="H34" s="6" t="s">
        <v>42</v>
      </c>
      <c r="I34" s="6" t="s">
        <v>61</v>
      </c>
      <c r="J34" s="6" t="s">
        <v>74</v>
      </c>
      <c r="K34" s="7" t="n">
        <v>45820</v>
      </c>
      <c r="L34" s="7" t="n">
        <v>45846</v>
      </c>
      <c r="M34" s="6" t="n">
        <f aca="false">IF(AND(K34&lt;&gt;"",L34&lt;&gt;""),L34-K34,"")</f>
        <v>26</v>
      </c>
      <c r="N34" s="7" t="n">
        <v>45827</v>
      </c>
      <c r="O34" s="6" t="str">
        <f aca="false">IF(F34="Serious",15,"N/A")</f>
        <v>N/A</v>
      </c>
      <c r="P34" s="6" t="n">
        <f aca="false">N34-B34</f>
        <v>11</v>
      </c>
      <c r="Q34" s="6" t="str">
        <f aca="false">IF(F34="Serious",IF(P34&lt;=O34,"Yes","No"),"N/A")</f>
        <v>N/A</v>
      </c>
      <c r="R34" s="6" t="str">
        <f aca="false">IF(AND(I34="Yes",L34=""),Dashboard!$B$2-K34,"")</f>
        <v/>
      </c>
    </row>
    <row r="35" customFormat="false" ht="15" hidden="false" customHeight="false" outlineLevel="0" collapsed="false">
      <c r="A35" s="6" t="s">
        <v>117</v>
      </c>
      <c r="B35" s="7" t="n">
        <v>46049</v>
      </c>
      <c r="C35" s="6" t="s">
        <v>37</v>
      </c>
      <c r="D35" s="6" t="s">
        <v>69</v>
      </c>
      <c r="E35" s="6" t="s">
        <v>118</v>
      </c>
      <c r="F35" s="6" t="s">
        <v>40</v>
      </c>
      <c r="G35" s="6" t="s">
        <v>71</v>
      </c>
      <c r="H35" s="6" t="s">
        <v>60</v>
      </c>
      <c r="I35" s="6" t="s">
        <v>43</v>
      </c>
      <c r="J35" s="6"/>
      <c r="K35" s="6"/>
      <c r="L35" s="6"/>
      <c r="M35" s="6" t="str">
        <f aca="false">IF(AND(K35&lt;&gt;"",L35&lt;&gt;""),L35-K35,"")</f>
        <v/>
      </c>
      <c r="N35" s="7" t="n">
        <v>46068</v>
      </c>
      <c r="O35" s="6" t="n">
        <f aca="false">IF(F35="Serious",15,"N/A")</f>
        <v>15</v>
      </c>
      <c r="P35" s="6" t="n">
        <f aca="false">N35-B35</f>
        <v>19</v>
      </c>
      <c r="Q35" s="6" t="str">
        <f aca="false">IF(F35="Serious",IF(P35&lt;=O35,"Yes","No"),"N/A")</f>
        <v>No</v>
      </c>
      <c r="R35" s="6" t="str">
        <f aca="false">IF(AND(I35="Yes",L35=""),Dashboard!$B$2-K35,"")</f>
        <v/>
      </c>
    </row>
    <row r="36" customFormat="false" ht="15" hidden="false" customHeight="false" outlineLevel="0" collapsed="false">
      <c r="A36" s="6" t="s">
        <v>119</v>
      </c>
      <c r="B36" s="7" t="n">
        <v>45682</v>
      </c>
      <c r="C36" s="6" t="s">
        <v>56</v>
      </c>
      <c r="D36" s="6" t="s">
        <v>101</v>
      </c>
      <c r="E36" s="6" t="s">
        <v>102</v>
      </c>
      <c r="F36" s="6" t="s">
        <v>52</v>
      </c>
      <c r="G36" s="6" t="s">
        <v>53</v>
      </c>
      <c r="H36" s="6" t="s">
        <v>42</v>
      </c>
      <c r="I36" s="6" t="s">
        <v>61</v>
      </c>
      <c r="J36" s="6" t="s">
        <v>76</v>
      </c>
      <c r="K36" s="7" t="n">
        <v>45689</v>
      </c>
      <c r="L36" s="7" t="n">
        <v>45718</v>
      </c>
      <c r="M36" s="6" t="n">
        <f aca="false">IF(AND(K36&lt;&gt;"",L36&lt;&gt;""),L36-K36,"")</f>
        <v>29</v>
      </c>
      <c r="N36" s="7" t="n">
        <v>45708</v>
      </c>
      <c r="O36" s="6" t="str">
        <f aca="false">IF(F36="Serious",15,"N/A")</f>
        <v>N/A</v>
      </c>
      <c r="P36" s="6" t="n">
        <f aca="false">N36-B36</f>
        <v>26</v>
      </c>
      <c r="Q36" s="6" t="str">
        <f aca="false">IF(F36="Serious",IF(P36&lt;=O36,"Yes","No"),"N/A")</f>
        <v>N/A</v>
      </c>
      <c r="R36" s="6" t="str">
        <f aca="false">IF(AND(I36="Yes",L36=""),Dashboard!$B$2-K36,"")</f>
        <v/>
      </c>
    </row>
    <row r="37" customFormat="false" ht="15" hidden="false" customHeight="false" outlineLevel="0" collapsed="false">
      <c r="A37" s="6" t="s">
        <v>120</v>
      </c>
      <c r="B37" s="7" t="n">
        <v>45686</v>
      </c>
      <c r="C37" s="6" t="s">
        <v>37</v>
      </c>
      <c r="D37" s="6" t="s">
        <v>38</v>
      </c>
      <c r="E37" s="6" t="s">
        <v>39</v>
      </c>
      <c r="F37" s="6" t="s">
        <v>52</v>
      </c>
      <c r="G37" s="6" t="s">
        <v>121</v>
      </c>
      <c r="H37" s="6" t="s">
        <v>60</v>
      </c>
      <c r="I37" s="6" t="s">
        <v>61</v>
      </c>
      <c r="J37" s="6" t="s">
        <v>62</v>
      </c>
      <c r="K37" s="7" t="n">
        <v>45692</v>
      </c>
      <c r="L37" s="7" t="n">
        <v>45731</v>
      </c>
      <c r="M37" s="6" t="n">
        <f aca="false">IF(AND(K37&lt;&gt;"",L37&lt;&gt;""),L37-K37,"")</f>
        <v>39</v>
      </c>
      <c r="N37" s="7" t="n">
        <v>45698</v>
      </c>
      <c r="O37" s="6" t="str">
        <f aca="false">IF(F37="Serious",15,"N/A")</f>
        <v>N/A</v>
      </c>
      <c r="P37" s="6" t="n">
        <f aca="false">N37-B37</f>
        <v>12</v>
      </c>
      <c r="Q37" s="6" t="str">
        <f aca="false">IF(F37="Serious",IF(P37&lt;=O37,"Yes","No"),"N/A")</f>
        <v>N/A</v>
      </c>
      <c r="R37" s="6" t="str">
        <f aca="false">IF(AND(I37="Yes",L37=""),Dashboard!$B$2-K37,"")</f>
        <v/>
      </c>
    </row>
    <row r="38" customFormat="false" ht="15" hidden="false" customHeight="false" outlineLevel="0" collapsed="false">
      <c r="A38" s="6" t="s">
        <v>122</v>
      </c>
      <c r="B38" s="7" t="n">
        <v>46052</v>
      </c>
      <c r="C38" s="6" t="s">
        <v>64</v>
      </c>
      <c r="D38" s="6" t="s">
        <v>57</v>
      </c>
      <c r="E38" s="6" t="s">
        <v>58</v>
      </c>
      <c r="F38" s="6" t="s">
        <v>40</v>
      </c>
      <c r="G38" s="6" t="s">
        <v>59</v>
      </c>
      <c r="H38" s="6" t="s">
        <v>42</v>
      </c>
      <c r="I38" s="6" t="s">
        <v>43</v>
      </c>
      <c r="J38" s="6"/>
      <c r="K38" s="6"/>
      <c r="L38" s="6"/>
      <c r="M38" s="6" t="str">
        <f aca="false">IF(AND(K38&lt;&gt;"",L38&lt;&gt;""),L38-K38,"")</f>
        <v/>
      </c>
      <c r="N38" s="7" t="n">
        <v>46065</v>
      </c>
      <c r="O38" s="6" t="n">
        <f aca="false">IF(F38="Serious",15,"N/A")</f>
        <v>15</v>
      </c>
      <c r="P38" s="6" t="n">
        <f aca="false">N38-B38</f>
        <v>13</v>
      </c>
      <c r="Q38" s="6" t="str">
        <f aca="false">IF(F38="Serious",IF(P38&lt;=O38,"Yes","No"),"N/A")</f>
        <v>Yes</v>
      </c>
      <c r="R38" s="6" t="str">
        <f aca="false">IF(AND(I38="Yes",L38=""),Dashboard!$B$2-K38,"")</f>
        <v/>
      </c>
    </row>
    <row r="39" customFormat="false" ht="15" hidden="false" customHeight="false" outlineLevel="0" collapsed="false">
      <c r="A39" s="6" t="s">
        <v>123</v>
      </c>
      <c r="B39" s="7" t="n">
        <v>45859</v>
      </c>
      <c r="C39" s="6" t="s">
        <v>73</v>
      </c>
      <c r="D39" s="6" t="s">
        <v>101</v>
      </c>
      <c r="E39" s="6" t="s">
        <v>124</v>
      </c>
      <c r="F39" s="6" t="s">
        <v>52</v>
      </c>
      <c r="G39" s="6" t="s">
        <v>71</v>
      </c>
      <c r="H39" s="6" t="s">
        <v>42</v>
      </c>
      <c r="I39" s="6" t="s">
        <v>43</v>
      </c>
      <c r="J39" s="6"/>
      <c r="K39" s="6"/>
      <c r="L39" s="6"/>
      <c r="M39" s="6" t="str">
        <f aca="false">IF(AND(K39&lt;&gt;"",L39&lt;&gt;""),L39-K39,"")</f>
        <v/>
      </c>
      <c r="N39" s="7" t="n">
        <v>45871</v>
      </c>
      <c r="O39" s="6" t="str">
        <f aca="false">IF(F39="Serious",15,"N/A")</f>
        <v>N/A</v>
      </c>
      <c r="P39" s="6" t="n">
        <f aca="false">N39-B39</f>
        <v>12</v>
      </c>
      <c r="Q39" s="6" t="str">
        <f aca="false">IF(F39="Serious",IF(P39&lt;=O39,"Yes","No"),"N/A")</f>
        <v>N/A</v>
      </c>
      <c r="R39" s="6" t="str">
        <f aca="false">IF(AND(I39="Yes",L39=""),Dashboard!$B$2-K39,"")</f>
        <v/>
      </c>
    </row>
    <row r="40" customFormat="false" ht="15" hidden="false" customHeight="false" outlineLevel="0" collapsed="false">
      <c r="A40" s="6" t="s">
        <v>125</v>
      </c>
      <c r="B40" s="7" t="n">
        <v>45965</v>
      </c>
      <c r="C40" s="6" t="s">
        <v>64</v>
      </c>
      <c r="D40" s="6" t="s">
        <v>38</v>
      </c>
      <c r="E40" s="6" t="s">
        <v>65</v>
      </c>
      <c r="F40" s="6" t="s">
        <v>52</v>
      </c>
      <c r="G40" s="6" t="s">
        <v>66</v>
      </c>
      <c r="H40" s="6" t="s">
        <v>42</v>
      </c>
      <c r="I40" s="6" t="s">
        <v>61</v>
      </c>
      <c r="J40" s="6" t="s">
        <v>126</v>
      </c>
      <c r="K40" s="7" t="n">
        <v>45972</v>
      </c>
      <c r="L40" s="7" t="n">
        <v>46004</v>
      </c>
      <c r="M40" s="6" t="n">
        <f aca="false">IF(AND(K40&lt;&gt;"",L40&lt;&gt;""),L40-K40,"")</f>
        <v>32</v>
      </c>
      <c r="N40" s="7" t="n">
        <v>46009</v>
      </c>
      <c r="O40" s="6" t="str">
        <f aca="false">IF(F40="Serious",15,"N/A")</f>
        <v>N/A</v>
      </c>
      <c r="P40" s="6" t="n">
        <f aca="false">N40-B40</f>
        <v>44</v>
      </c>
      <c r="Q40" s="6" t="str">
        <f aca="false">IF(F40="Serious",IF(P40&lt;=O40,"Yes","No"),"N/A")</f>
        <v>N/A</v>
      </c>
      <c r="R40" s="6" t="str">
        <f aca="false">IF(AND(I40="Yes",L40=""),Dashboard!$B$2-K40,"")</f>
        <v/>
      </c>
    </row>
    <row r="41" customFormat="false" ht="15" hidden="false" customHeight="false" outlineLevel="0" collapsed="false">
      <c r="A41" s="6" t="s">
        <v>127</v>
      </c>
      <c r="B41" s="7" t="n">
        <v>45966</v>
      </c>
      <c r="C41" s="6" t="s">
        <v>49</v>
      </c>
      <c r="D41" s="6" t="s">
        <v>85</v>
      </c>
      <c r="E41" s="6" t="s">
        <v>86</v>
      </c>
      <c r="F41" s="6" t="s">
        <v>52</v>
      </c>
      <c r="G41" s="6" t="s">
        <v>53</v>
      </c>
      <c r="H41" s="6" t="s">
        <v>42</v>
      </c>
      <c r="I41" s="6" t="s">
        <v>43</v>
      </c>
      <c r="J41" s="6"/>
      <c r="K41" s="6"/>
      <c r="L41" s="6"/>
      <c r="M41" s="6" t="str">
        <f aca="false">IF(AND(K41&lt;&gt;"",L41&lt;&gt;""),L41-K41,"")</f>
        <v/>
      </c>
      <c r="N41" s="7" t="n">
        <v>45991</v>
      </c>
      <c r="O41" s="6" t="str">
        <f aca="false">IF(F41="Serious",15,"N/A")</f>
        <v>N/A</v>
      </c>
      <c r="P41" s="6" t="n">
        <f aca="false">N41-B41</f>
        <v>25</v>
      </c>
      <c r="Q41" s="6" t="str">
        <f aca="false">IF(F41="Serious",IF(P41&lt;=O41,"Yes","No"),"N/A")</f>
        <v>N/A</v>
      </c>
      <c r="R41" s="6" t="str">
        <f aca="false">IF(AND(I41="Yes",L41=""),Dashboard!$B$2-K41,"")</f>
        <v/>
      </c>
    </row>
    <row r="42" customFormat="false" ht="15" hidden="false" customHeight="false" outlineLevel="0" collapsed="false">
      <c r="A42" s="6" t="s">
        <v>128</v>
      </c>
      <c r="B42" s="7" t="n">
        <v>46134</v>
      </c>
      <c r="C42" s="6" t="s">
        <v>49</v>
      </c>
      <c r="D42" s="6" t="s">
        <v>69</v>
      </c>
      <c r="E42" s="6" t="s">
        <v>118</v>
      </c>
      <c r="F42" s="6" t="s">
        <v>52</v>
      </c>
      <c r="G42" s="6" t="s">
        <v>41</v>
      </c>
      <c r="H42" s="6" t="s">
        <v>129</v>
      </c>
      <c r="I42" s="6" t="s">
        <v>43</v>
      </c>
      <c r="J42" s="6"/>
      <c r="K42" s="6"/>
      <c r="L42" s="6"/>
      <c r="M42" s="6" t="str">
        <f aca="false">IF(AND(K42&lt;&gt;"",L42&lt;&gt;""),L42-K42,"")</f>
        <v/>
      </c>
      <c r="N42" s="7" t="n">
        <v>46181</v>
      </c>
      <c r="O42" s="6" t="str">
        <f aca="false">IF(F42="Serious",15,"N/A")</f>
        <v>N/A</v>
      </c>
      <c r="P42" s="6" t="n">
        <f aca="false">N42-B42</f>
        <v>47</v>
      </c>
      <c r="Q42" s="6" t="str">
        <f aca="false">IF(F42="Serious",IF(P42&lt;=O42,"Yes","No"),"N/A")</f>
        <v>N/A</v>
      </c>
      <c r="R42" s="6" t="str">
        <f aca="false">IF(AND(I42="Yes",L42=""),Dashboard!$B$2-K42,"")</f>
        <v/>
      </c>
    </row>
    <row r="43" customFormat="false" ht="15" hidden="false" customHeight="false" outlineLevel="0" collapsed="false">
      <c r="A43" s="6" t="s">
        <v>130</v>
      </c>
      <c r="B43" s="7" t="n">
        <v>45744</v>
      </c>
      <c r="C43" s="6" t="s">
        <v>73</v>
      </c>
      <c r="D43" s="6" t="s">
        <v>85</v>
      </c>
      <c r="E43" s="6" t="s">
        <v>109</v>
      </c>
      <c r="F43" s="6" t="s">
        <v>40</v>
      </c>
      <c r="G43" s="6" t="s">
        <v>121</v>
      </c>
      <c r="H43" s="6" t="s">
        <v>60</v>
      </c>
      <c r="I43" s="6" t="s">
        <v>61</v>
      </c>
      <c r="J43" s="6" t="s">
        <v>98</v>
      </c>
      <c r="K43" s="7" t="n">
        <v>45747</v>
      </c>
      <c r="L43" s="7" t="n">
        <v>45756</v>
      </c>
      <c r="M43" s="6" t="n">
        <f aca="false">IF(AND(K43&lt;&gt;"",L43&lt;&gt;""),L43-K43,"")</f>
        <v>9</v>
      </c>
      <c r="N43" s="7" t="n">
        <v>45758</v>
      </c>
      <c r="O43" s="6" t="n">
        <f aca="false">IF(F43="Serious",15,"N/A")</f>
        <v>15</v>
      </c>
      <c r="P43" s="6" t="n">
        <f aca="false">N43-B43</f>
        <v>14</v>
      </c>
      <c r="Q43" s="6" t="str">
        <f aca="false">IF(F43="Serious",IF(P43&lt;=O43,"Yes","No"),"N/A")</f>
        <v>Yes</v>
      </c>
      <c r="R43" s="6" t="str">
        <f aca="false">IF(AND(I43="Yes",L43=""),Dashboard!$B$2-K43,"")</f>
        <v/>
      </c>
    </row>
    <row r="44" customFormat="false" ht="15" hidden="false" customHeight="false" outlineLevel="0" collapsed="false">
      <c r="A44" s="6" t="s">
        <v>131</v>
      </c>
      <c r="B44" s="7" t="n">
        <v>45732</v>
      </c>
      <c r="C44" s="6" t="s">
        <v>49</v>
      </c>
      <c r="D44" s="6" t="s">
        <v>101</v>
      </c>
      <c r="E44" s="6" t="s">
        <v>132</v>
      </c>
      <c r="F44" s="6" t="s">
        <v>52</v>
      </c>
      <c r="G44" s="6" t="s">
        <v>66</v>
      </c>
      <c r="H44" s="6" t="s">
        <v>60</v>
      </c>
      <c r="I44" s="6" t="s">
        <v>61</v>
      </c>
      <c r="J44" s="6" t="s">
        <v>98</v>
      </c>
      <c r="K44" s="7" t="n">
        <v>45733</v>
      </c>
      <c r="L44" s="6"/>
      <c r="M44" s="6" t="str">
        <f aca="false">IF(AND(K44&lt;&gt;"",L44&lt;&gt;""),L44-K44,"")</f>
        <v/>
      </c>
      <c r="N44" s="7" t="n">
        <v>45792</v>
      </c>
      <c r="O44" s="6" t="str">
        <f aca="false">IF(F44="Serious",15,"N/A")</f>
        <v>N/A</v>
      </c>
      <c r="P44" s="6" t="n">
        <f aca="false">N44-B44</f>
        <v>60</v>
      </c>
      <c r="Q44" s="6" t="str">
        <f aca="false">IF(F44="Serious",IF(P44&lt;=O44,"Yes","No"),"N/A")</f>
        <v>N/A</v>
      </c>
      <c r="R44" s="6" t="n">
        <f aca="false">IF(AND(I44="Yes",L44=""),Dashboard!$B$2-K44,"")</f>
        <v>481</v>
      </c>
    </row>
    <row r="45" customFormat="false" ht="15" hidden="false" customHeight="false" outlineLevel="0" collapsed="false">
      <c r="A45" s="6" t="s">
        <v>133</v>
      </c>
      <c r="B45" s="7" t="n">
        <v>45767</v>
      </c>
      <c r="C45" s="6" t="s">
        <v>49</v>
      </c>
      <c r="D45" s="6" t="s">
        <v>57</v>
      </c>
      <c r="E45" s="6" t="s">
        <v>94</v>
      </c>
      <c r="F45" s="6" t="s">
        <v>52</v>
      </c>
      <c r="G45" s="6" t="s">
        <v>66</v>
      </c>
      <c r="H45" s="6" t="s">
        <v>42</v>
      </c>
      <c r="I45" s="6" t="s">
        <v>61</v>
      </c>
      <c r="J45" s="6" t="s">
        <v>89</v>
      </c>
      <c r="K45" s="7" t="n">
        <v>45775</v>
      </c>
      <c r="L45" s="7" t="n">
        <v>45790</v>
      </c>
      <c r="M45" s="6" t="n">
        <f aca="false">IF(AND(K45&lt;&gt;"",L45&lt;&gt;""),L45-K45,"")</f>
        <v>15</v>
      </c>
      <c r="N45" s="7" t="n">
        <v>45805</v>
      </c>
      <c r="O45" s="6" t="str">
        <f aca="false">IF(F45="Serious",15,"N/A")</f>
        <v>N/A</v>
      </c>
      <c r="P45" s="6" t="n">
        <f aca="false">N45-B45</f>
        <v>38</v>
      </c>
      <c r="Q45" s="6" t="str">
        <f aca="false">IF(F45="Serious",IF(P45&lt;=O45,"Yes","No"),"N/A")</f>
        <v>N/A</v>
      </c>
      <c r="R45" s="6" t="str">
        <f aca="false">IF(AND(I45="Yes",L45=""),Dashboard!$B$2-K45,"")</f>
        <v/>
      </c>
    </row>
    <row r="46" customFormat="false" ht="15" hidden="false" customHeight="false" outlineLevel="0" collapsed="false">
      <c r="A46" s="6" t="s">
        <v>134</v>
      </c>
      <c r="B46" s="7" t="n">
        <v>45982</v>
      </c>
      <c r="C46" s="6" t="s">
        <v>49</v>
      </c>
      <c r="D46" s="6" t="s">
        <v>50</v>
      </c>
      <c r="E46" s="6" t="s">
        <v>51</v>
      </c>
      <c r="F46" s="6" t="s">
        <v>52</v>
      </c>
      <c r="G46" s="6" t="s">
        <v>47</v>
      </c>
      <c r="H46" s="6" t="s">
        <v>54</v>
      </c>
      <c r="I46" s="6" t="s">
        <v>43</v>
      </c>
      <c r="J46" s="6"/>
      <c r="K46" s="6"/>
      <c r="L46" s="6"/>
      <c r="M46" s="6" t="str">
        <f aca="false">IF(AND(K46&lt;&gt;"",L46&lt;&gt;""),L46-K46,"")</f>
        <v/>
      </c>
      <c r="N46" s="7" t="n">
        <v>46017</v>
      </c>
      <c r="O46" s="6" t="str">
        <f aca="false">IF(F46="Serious",15,"N/A")</f>
        <v>N/A</v>
      </c>
      <c r="P46" s="6" t="n">
        <f aca="false">N46-B46</f>
        <v>35</v>
      </c>
      <c r="Q46" s="6" t="str">
        <f aca="false">IF(F46="Serious",IF(P46&lt;=O46,"Yes","No"),"N/A")</f>
        <v>N/A</v>
      </c>
      <c r="R46" s="6" t="str">
        <f aca="false">IF(AND(I46="Yes",L46=""),Dashboard!$B$2-K46,"")</f>
        <v/>
      </c>
    </row>
    <row r="47" customFormat="false" ht="15" hidden="false" customHeight="false" outlineLevel="0" collapsed="false">
      <c r="A47" s="6" t="s">
        <v>135</v>
      </c>
      <c r="B47" s="7" t="n">
        <v>46118</v>
      </c>
      <c r="C47" s="6" t="s">
        <v>73</v>
      </c>
      <c r="D47" s="6" t="s">
        <v>57</v>
      </c>
      <c r="E47" s="6" t="s">
        <v>58</v>
      </c>
      <c r="F47" s="6" t="s">
        <v>52</v>
      </c>
      <c r="G47" s="6" t="s">
        <v>47</v>
      </c>
      <c r="H47" s="6" t="s">
        <v>42</v>
      </c>
      <c r="I47" s="6" t="s">
        <v>61</v>
      </c>
      <c r="J47" s="6" t="s">
        <v>89</v>
      </c>
      <c r="K47" s="7" t="n">
        <v>46123</v>
      </c>
      <c r="L47" s="7" t="n">
        <v>46135</v>
      </c>
      <c r="M47" s="6" t="n">
        <f aca="false">IF(AND(K47&lt;&gt;"",L47&lt;&gt;""),L47-K47,"")</f>
        <v>12</v>
      </c>
      <c r="N47" s="7" t="n">
        <v>46157</v>
      </c>
      <c r="O47" s="6" t="str">
        <f aca="false">IF(F47="Serious",15,"N/A")</f>
        <v>N/A</v>
      </c>
      <c r="P47" s="6" t="n">
        <f aca="false">N47-B47</f>
        <v>39</v>
      </c>
      <c r="Q47" s="6" t="str">
        <f aca="false">IF(F47="Serious",IF(P47&lt;=O47,"Yes","No"),"N/A")</f>
        <v>N/A</v>
      </c>
      <c r="R47" s="6" t="str">
        <f aca="false">IF(AND(I47="Yes",L47=""),Dashboard!$B$2-K47,"")</f>
        <v/>
      </c>
    </row>
    <row r="48" customFormat="false" ht="15" hidden="false" customHeight="false" outlineLevel="0" collapsed="false">
      <c r="A48" s="6" t="s">
        <v>136</v>
      </c>
      <c r="B48" s="7" t="n">
        <v>45740</v>
      </c>
      <c r="C48" s="6" t="s">
        <v>56</v>
      </c>
      <c r="D48" s="6" t="s">
        <v>82</v>
      </c>
      <c r="E48" s="6" t="s">
        <v>116</v>
      </c>
      <c r="F48" s="6" t="s">
        <v>52</v>
      </c>
      <c r="G48" s="6" t="s">
        <v>53</v>
      </c>
      <c r="H48" s="6" t="s">
        <v>60</v>
      </c>
      <c r="I48" s="6" t="s">
        <v>61</v>
      </c>
      <c r="J48" s="6" t="s">
        <v>62</v>
      </c>
      <c r="K48" s="7" t="n">
        <v>45749</v>
      </c>
      <c r="L48" s="7" t="n">
        <v>45754</v>
      </c>
      <c r="M48" s="6" t="n">
        <f aca="false">IF(AND(K48&lt;&gt;"",L48&lt;&gt;""),L48-K48,"")</f>
        <v>5</v>
      </c>
      <c r="N48" s="7" t="n">
        <v>45798</v>
      </c>
      <c r="O48" s="6" t="str">
        <f aca="false">IF(F48="Serious",15,"N/A")</f>
        <v>N/A</v>
      </c>
      <c r="P48" s="6" t="n">
        <f aca="false">N48-B48</f>
        <v>58</v>
      </c>
      <c r="Q48" s="6" t="str">
        <f aca="false">IF(F48="Serious",IF(P48&lt;=O48,"Yes","No"),"N/A")</f>
        <v>N/A</v>
      </c>
      <c r="R48" s="6" t="str">
        <f aca="false">IF(AND(I48="Yes",L48=""),Dashboard!$B$2-K48,"")</f>
        <v/>
      </c>
    </row>
    <row r="49" customFormat="false" ht="15" hidden="false" customHeight="false" outlineLevel="0" collapsed="false">
      <c r="A49" s="6" t="s">
        <v>137</v>
      </c>
      <c r="B49" s="7" t="n">
        <v>46088</v>
      </c>
      <c r="C49" s="6" t="s">
        <v>49</v>
      </c>
      <c r="D49" s="6" t="s">
        <v>50</v>
      </c>
      <c r="E49" s="6" t="s">
        <v>138</v>
      </c>
      <c r="F49" s="6" t="s">
        <v>52</v>
      </c>
      <c r="G49" s="6" t="s">
        <v>41</v>
      </c>
      <c r="H49" s="6" t="s">
        <v>60</v>
      </c>
      <c r="I49" s="6" t="s">
        <v>61</v>
      </c>
      <c r="J49" s="6" t="s">
        <v>62</v>
      </c>
      <c r="K49" s="7" t="n">
        <v>46093</v>
      </c>
      <c r="L49" s="6"/>
      <c r="M49" s="6" t="str">
        <f aca="false">IF(AND(K49&lt;&gt;"",L49&lt;&gt;""),L49-K49,"")</f>
        <v/>
      </c>
      <c r="N49" s="7" t="n">
        <v>46147</v>
      </c>
      <c r="O49" s="6" t="str">
        <f aca="false">IF(F49="Serious",15,"N/A")</f>
        <v>N/A</v>
      </c>
      <c r="P49" s="6" t="n">
        <f aca="false">N49-B49</f>
        <v>59</v>
      </c>
      <c r="Q49" s="6" t="str">
        <f aca="false">IF(F49="Serious",IF(P49&lt;=O49,"Yes","No"),"N/A")</f>
        <v>N/A</v>
      </c>
      <c r="R49" s="6" t="n">
        <f aca="false">IF(AND(I49="Yes",L49=""),Dashboard!$B$2-K49,"")</f>
        <v>121</v>
      </c>
    </row>
    <row r="50" customFormat="false" ht="15" hidden="false" customHeight="false" outlineLevel="0" collapsed="false">
      <c r="A50" s="6" t="s">
        <v>139</v>
      </c>
      <c r="B50" s="7" t="n">
        <v>46087</v>
      </c>
      <c r="C50" s="6" t="s">
        <v>64</v>
      </c>
      <c r="D50" s="6" t="s">
        <v>85</v>
      </c>
      <c r="E50" s="6" t="s">
        <v>86</v>
      </c>
      <c r="F50" s="6" t="s">
        <v>52</v>
      </c>
      <c r="G50" s="6" t="s">
        <v>53</v>
      </c>
      <c r="H50" s="6" t="s">
        <v>42</v>
      </c>
      <c r="I50" s="6" t="s">
        <v>61</v>
      </c>
      <c r="J50" s="6" t="s">
        <v>126</v>
      </c>
      <c r="K50" s="7" t="n">
        <v>46094</v>
      </c>
      <c r="L50" s="7" t="n">
        <v>46122</v>
      </c>
      <c r="M50" s="6" t="n">
        <f aca="false">IF(AND(K50&lt;&gt;"",L50&lt;&gt;""),L50-K50,"")</f>
        <v>28</v>
      </c>
      <c r="N50" s="7" t="n">
        <v>46100</v>
      </c>
      <c r="O50" s="6" t="str">
        <f aca="false">IF(F50="Serious",15,"N/A")</f>
        <v>N/A</v>
      </c>
      <c r="P50" s="6" t="n">
        <f aca="false">N50-B50</f>
        <v>13</v>
      </c>
      <c r="Q50" s="6" t="str">
        <f aca="false">IF(F50="Serious",IF(P50&lt;=O50,"Yes","No"),"N/A")</f>
        <v>N/A</v>
      </c>
      <c r="R50" s="6" t="str">
        <f aca="false">IF(AND(I50="Yes",L50=""),Dashboard!$B$2-K50,"")</f>
        <v/>
      </c>
    </row>
    <row r="51" customFormat="false" ht="15" hidden="false" customHeight="false" outlineLevel="0" collapsed="false">
      <c r="A51" s="6" t="s">
        <v>140</v>
      </c>
      <c r="B51" s="7" t="n">
        <v>45685</v>
      </c>
      <c r="C51" s="6" t="s">
        <v>49</v>
      </c>
      <c r="D51" s="6" t="s">
        <v>50</v>
      </c>
      <c r="E51" s="6" t="s">
        <v>138</v>
      </c>
      <c r="F51" s="6" t="s">
        <v>40</v>
      </c>
      <c r="G51" s="6" t="s">
        <v>59</v>
      </c>
      <c r="H51" s="6" t="s">
        <v>54</v>
      </c>
      <c r="I51" s="6" t="s">
        <v>61</v>
      </c>
      <c r="J51" s="6" t="s">
        <v>62</v>
      </c>
      <c r="K51" s="7" t="n">
        <v>45692</v>
      </c>
      <c r="L51" s="7" t="n">
        <v>45707</v>
      </c>
      <c r="M51" s="6" t="n">
        <f aca="false">IF(AND(K51&lt;&gt;"",L51&lt;&gt;""),L51-K51,"")</f>
        <v>15</v>
      </c>
      <c r="N51" s="7" t="n">
        <v>45693</v>
      </c>
      <c r="O51" s="6" t="n">
        <f aca="false">IF(F51="Serious",15,"N/A")</f>
        <v>15</v>
      </c>
      <c r="P51" s="6" t="n">
        <f aca="false">N51-B51</f>
        <v>8</v>
      </c>
      <c r="Q51" s="6" t="str">
        <f aca="false">IF(F51="Serious",IF(P51&lt;=O51,"Yes","No"),"N/A")</f>
        <v>Yes</v>
      </c>
      <c r="R51" s="6" t="str">
        <f aca="false">IF(AND(I51="Yes",L51=""),Dashboard!$B$2-K51,"")</f>
        <v/>
      </c>
    </row>
    <row r="52" customFormat="false" ht="15" hidden="false" customHeight="false" outlineLevel="0" collapsed="false">
      <c r="A52" s="6" t="s">
        <v>141</v>
      </c>
      <c r="B52" s="7" t="n">
        <v>45942</v>
      </c>
      <c r="C52" s="6" t="s">
        <v>49</v>
      </c>
      <c r="D52" s="6" t="s">
        <v>38</v>
      </c>
      <c r="E52" s="6" t="s">
        <v>39</v>
      </c>
      <c r="F52" s="6" t="s">
        <v>52</v>
      </c>
      <c r="G52" s="6" t="s">
        <v>41</v>
      </c>
      <c r="H52" s="6" t="s">
        <v>60</v>
      </c>
      <c r="I52" s="6" t="s">
        <v>43</v>
      </c>
      <c r="J52" s="6"/>
      <c r="K52" s="6"/>
      <c r="L52" s="6"/>
      <c r="M52" s="6" t="str">
        <f aca="false">IF(AND(K52&lt;&gt;"",L52&lt;&gt;""),L52-K52,"")</f>
        <v/>
      </c>
      <c r="N52" s="7" t="n">
        <v>45961</v>
      </c>
      <c r="O52" s="6" t="str">
        <f aca="false">IF(F52="Serious",15,"N/A")</f>
        <v>N/A</v>
      </c>
      <c r="P52" s="6" t="n">
        <f aca="false">N52-B52</f>
        <v>19</v>
      </c>
      <c r="Q52" s="6" t="str">
        <f aca="false">IF(F52="Serious",IF(P52&lt;=O52,"Yes","No"),"N/A")</f>
        <v>N/A</v>
      </c>
      <c r="R52" s="6" t="str">
        <f aca="false">IF(AND(I52="Yes",L52=""),Dashboard!$B$2-K52,"")</f>
        <v/>
      </c>
    </row>
    <row r="53" customFormat="false" ht="15" hidden="false" customHeight="false" outlineLevel="0" collapsed="false">
      <c r="A53" s="6" t="s">
        <v>142</v>
      </c>
      <c r="B53" s="7" t="n">
        <v>45728</v>
      </c>
      <c r="C53" s="6" t="s">
        <v>37</v>
      </c>
      <c r="D53" s="6" t="s">
        <v>79</v>
      </c>
      <c r="E53" s="6" t="s">
        <v>143</v>
      </c>
      <c r="F53" s="6" t="s">
        <v>40</v>
      </c>
      <c r="G53" s="6" t="s">
        <v>53</v>
      </c>
      <c r="H53" s="6" t="s">
        <v>60</v>
      </c>
      <c r="I53" s="6" t="s">
        <v>61</v>
      </c>
      <c r="J53" s="6" t="s">
        <v>126</v>
      </c>
      <c r="K53" s="7" t="n">
        <v>45730</v>
      </c>
      <c r="L53" s="7" t="n">
        <v>45739</v>
      </c>
      <c r="M53" s="6" t="n">
        <f aca="false">IF(AND(K53&lt;&gt;"",L53&lt;&gt;""),L53-K53,"")</f>
        <v>9</v>
      </c>
      <c r="N53" s="7" t="n">
        <v>45742</v>
      </c>
      <c r="O53" s="6" t="n">
        <f aca="false">IF(F53="Serious",15,"N/A")</f>
        <v>15</v>
      </c>
      <c r="P53" s="6" t="n">
        <f aca="false">N53-B53</f>
        <v>14</v>
      </c>
      <c r="Q53" s="6" t="str">
        <f aca="false">IF(F53="Serious",IF(P53&lt;=O53,"Yes","No"),"N/A")</f>
        <v>Yes</v>
      </c>
      <c r="R53" s="6" t="str">
        <f aca="false">IF(AND(I53="Yes",L53=""),Dashboard!$B$2-K53,"")</f>
        <v/>
      </c>
    </row>
    <row r="54" customFormat="false" ht="15" hidden="false" customHeight="false" outlineLevel="0" collapsed="false">
      <c r="A54" s="6" t="s">
        <v>144</v>
      </c>
      <c r="B54" s="7" t="n">
        <v>46035</v>
      </c>
      <c r="C54" s="6" t="s">
        <v>56</v>
      </c>
      <c r="D54" s="6" t="s">
        <v>50</v>
      </c>
      <c r="E54" s="6" t="s">
        <v>138</v>
      </c>
      <c r="F54" s="6" t="s">
        <v>52</v>
      </c>
      <c r="G54" s="6" t="s">
        <v>53</v>
      </c>
      <c r="H54" s="6" t="s">
        <v>60</v>
      </c>
      <c r="I54" s="6" t="s">
        <v>61</v>
      </c>
      <c r="J54" s="6" t="s">
        <v>62</v>
      </c>
      <c r="K54" s="7" t="n">
        <v>46045</v>
      </c>
      <c r="L54" s="7" t="n">
        <v>46081</v>
      </c>
      <c r="M54" s="6" t="n">
        <f aca="false">IF(AND(K54&lt;&gt;"",L54&lt;&gt;""),L54-K54,"")</f>
        <v>36</v>
      </c>
      <c r="N54" s="7" t="n">
        <v>46065</v>
      </c>
      <c r="O54" s="6" t="str">
        <f aca="false">IF(F54="Serious",15,"N/A")</f>
        <v>N/A</v>
      </c>
      <c r="P54" s="6" t="n">
        <f aca="false">N54-B54</f>
        <v>30</v>
      </c>
      <c r="Q54" s="6" t="str">
        <f aca="false">IF(F54="Serious",IF(P54&lt;=O54,"Yes","No"),"N/A")</f>
        <v>N/A</v>
      </c>
      <c r="R54" s="6" t="str">
        <f aca="false">IF(AND(I54="Yes",L54=""),Dashboard!$B$2-K54,"")</f>
        <v/>
      </c>
    </row>
    <row r="55" customFormat="false" ht="15" hidden="false" customHeight="false" outlineLevel="0" collapsed="false">
      <c r="A55" s="6" t="s">
        <v>145</v>
      </c>
      <c r="B55" s="7" t="n">
        <v>45861</v>
      </c>
      <c r="C55" s="6" t="s">
        <v>37</v>
      </c>
      <c r="D55" s="6" t="s">
        <v>50</v>
      </c>
      <c r="E55" s="6" t="s">
        <v>138</v>
      </c>
      <c r="F55" s="6" t="s">
        <v>40</v>
      </c>
      <c r="G55" s="6" t="s">
        <v>41</v>
      </c>
      <c r="H55" s="6" t="s">
        <v>54</v>
      </c>
      <c r="I55" s="6" t="s">
        <v>43</v>
      </c>
      <c r="J55" s="6"/>
      <c r="K55" s="6"/>
      <c r="L55" s="6"/>
      <c r="M55" s="6" t="str">
        <f aca="false">IF(AND(K55&lt;&gt;"",L55&lt;&gt;""),L55-K55,"")</f>
        <v/>
      </c>
      <c r="N55" s="7" t="n">
        <v>45872</v>
      </c>
      <c r="O55" s="6" t="n">
        <f aca="false">IF(F55="Serious",15,"N/A")</f>
        <v>15</v>
      </c>
      <c r="P55" s="6" t="n">
        <f aca="false">N55-B55</f>
        <v>11</v>
      </c>
      <c r="Q55" s="6" t="str">
        <f aca="false">IF(F55="Serious",IF(P55&lt;=O55,"Yes","No"),"N/A")</f>
        <v>Yes</v>
      </c>
      <c r="R55" s="6" t="str">
        <f aca="false">IF(AND(I55="Yes",L55=""),Dashboard!$B$2-K55,"")</f>
        <v/>
      </c>
    </row>
    <row r="56" customFormat="false" ht="15" hidden="false" customHeight="false" outlineLevel="0" collapsed="false">
      <c r="A56" s="6" t="s">
        <v>146</v>
      </c>
      <c r="B56" s="7" t="n">
        <v>45700</v>
      </c>
      <c r="C56" s="6" t="s">
        <v>73</v>
      </c>
      <c r="D56" s="6" t="s">
        <v>85</v>
      </c>
      <c r="E56" s="6" t="s">
        <v>109</v>
      </c>
      <c r="F56" s="6" t="s">
        <v>52</v>
      </c>
      <c r="G56" s="6" t="s">
        <v>53</v>
      </c>
      <c r="H56" s="6" t="s">
        <v>42</v>
      </c>
      <c r="I56" s="6" t="s">
        <v>61</v>
      </c>
      <c r="J56" s="6" t="s">
        <v>74</v>
      </c>
      <c r="K56" s="7" t="n">
        <v>45708</v>
      </c>
      <c r="L56" s="7" t="n">
        <v>45745</v>
      </c>
      <c r="M56" s="6" t="n">
        <f aca="false">IF(AND(K56&lt;&gt;"",L56&lt;&gt;""),L56-K56,"")</f>
        <v>37</v>
      </c>
      <c r="N56" s="7" t="n">
        <v>45745</v>
      </c>
      <c r="O56" s="6" t="str">
        <f aca="false">IF(F56="Serious",15,"N/A")</f>
        <v>N/A</v>
      </c>
      <c r="P56" s="6" t="n">
        <f aca="false">N56-B56</f>
        <v>45</v>
      </c>
      <c r="Q56" s="6" t="str">
        <f aca="false">IF(F56="Serious",IF(P56&lt;=O56,"Yes","No"),"N/A")</f>
        <v>N/A</v>
      </c>
      <c r="R56" s="6" t="str">
        <f aca="false">IF(AND(I56="Yes",L56=""),Dashboard!$B$2-K56,"")</f>
        <v/>
      </c>
    </row>
    <row r="57" customFormat="false" ht="15" hidden="false" customHeight="false" outlineLevel="0" collapsed="false">
      <c r="A57" s="6" t="s">
        <v>147</v>
      </c>
      <c r="B57" s="7" t="n">
        <v>46128</v>
      </c>
      <c r="C57" s="6" t="s">
        <v>56</v>
      </c>
      <c r="D57" s="6" t="s">
        <v>101</v>
      </c>
      <c r="E57" s="6" t="s">
        <v>124</v>
      </c>
      <c r="F57" s="6" t="s">
        <v>52</v>
      </c>
      <c r="G57" s="6" t="s">
        <v>121</v>
      </c>
      <c r="H57" s="6" t="s">
        <v>60</v>
      </c>
      <c r="I57" s="6" t="s">
        <v>43</v>
      </c>
      <c r="J57" s="6"/>
      <c r="K57" s="6"/>
      <c r="L57" s="6"/>
      <c r="M57" s="6" t="str">
        <f aca="false">IF(AND(K57&lt;&gt;"",L57&lt;&gt;""),L57-K57,"")</f>
        <v/>
      </c>
      <c r="N57" s="7" t="n">
        <v>46167</v>
      </c>
      <c r="O57" s="6" t="str">
        <f aca="false">IF(F57="Serious",15,"N/A")</f>
        <v>N/A</v>
      </c>
      <c r="P57" s="6" t="n">
        <f aca="false">N57-B57</f>
        <v>39</v>
      </c>
      <c r="Q57" s="6" t="str">
        <f aca="false">IF(F57="Serious",IF(P57&lt;=O57,"Yes","No"),"N/A")</f>
        <v>N/A</v>
      </c>
      <c r="R57" s="6" t="str">
        <f aca="false">IF(AND(I57="Yes",L57=""),Dashboard!$B$2-K57,"")</f>
        <v/>
      </c>
    </row>
    <row r="58" customFormat="false" ht="15" hidden="false" customHeight="false" outlineLevel="0" collapsed="false">
      <c r="A58" s="6" t="s">
        <v>148</v>
      </c>
      <c r="B58" s="7" t="n">
        <v>46153</v>
      </c>
      <c r="C58" s="6" t="s">
        <v>49</v>
      </c>
      <c r="D58" s="6" t="s">
        <v>101</v>
      </c>
      <c r="E58" s="6" t="s">
        <v>132</v>
      </c>
      <c r="F58" s="6" t="s">
        <v>52</v>
      </c>
      <c r="G58" s="6" t="s">
        <v>59</v>
      </c>
      <c r="H58" s="6" t="s">
        <v>60</v>
      </c>
      <c r="I58" s="6" t="s">
        <v>43</v>
      </c>
      <c r="J58" s="6"/>
      <c r="K58" s="6"/>
      <c r="L58" s="6"/>
      <c r="M58" s="6" t="str">
        <f aca="false">IF(AND(K58&lt;&gt;"",L58&lt;&gt;""),L58-K58,"")</f>
        <v/>
      </c>
      <c r="N58" s="7" t="n">
        <v>46175</v>
      </c>
      <c r="O58" s="6" t="str">
        <f aca="false">IF(F58="Serious",15,"N/A")</f>
        <v>N/A</v>
      </c>
      <c r="P58" s="6" t="n">
        <f aca="false">N58-B58</f>
        <v>22</v>
      </c>
      <c r="Q58" s="6" t="str">
        <f aca="false">IF(F58="Serious",IF(P58&lt;=O58,"Yes","No"),"N/A")</f>
        <v>N/A</v>
      </c>
      <c r="R58" s="6" t="str">
        <f aca="false">IF(AND(I58="Yes",L58=""),Dashboard!$B$2-K58,"")</f>
        <v/>
      </c>
    </row>
    <row r="59" customFormat="false" ht="15" hidden="false" customHeight="false" outlineLevel="0" collapsed="false">
      <c r="A59" s="6" t="s">
        <v>149</v>
      </c>
      <c r="B59" s="7" t="n">
        <v>46119</v>
      </c>
      <c r="C59" s="6" t="s">
        <v>56</v>
      </c>
      <c r="D59" s="6" t="s">
        <v>69</v>
      </c>
      <c r="E59" s="6" t="s">
        <v>70</v>
      </c>
      <c r="F59" s="6" t="s">
        <v>52</v>
      </c>
      <c r="G59" s="6" t="s">
        <v>59</v>
      </c>
      <c r="H59" s="6" t="s">
        <v>60</v>
      </c>
      <c r="I59" s="6" t="s">
        <v>61</v>
      </c>
      <c r="J59" s="6" t="s">
        <v>62</v>
      </c>
      <c r="K59" s="7" t="n">
        <v>46124</v>
      </c>
      <c r="L59" s="7" t="n">
        <v>46155</v>
      </c>
      <c r="M59" s="6" t="n">
        <f aca="false">IF(AND(K59&lt;&gt;"",L59&lt;&gt;""),L59-K59,"")</f>
        <v>31</v>
      </c>
      <c r="N59" s="7" t="n">
        <v>46168</v>
      </c>
      <c r="O59" s="6" t="str">
        <f aca="false">IF(F59="Serious",15,"N/A")</f>
        <v>N/A</v>
      </c>
      <c r="P59" s="6" t="n">
        <f aca="false">N59-B59</f>
        <v>49</v>
      </c>
      <c r="Q59" s="6" t="str">
        <f aca="false">IF(F59="Serious",IF(P59&lt;=O59,"Yes","No"),"N/A")</f>
        <v>N/A</v>
      </c>
      <c r="R59" s="6" t="str">
        <f aca="false">IF(AND(I59="Yes",L59=""),Dashboard!$B$2-K59,"")</f>
        <v/>
      </c>
    </row>
    <row r="60" customFormat="false" ht="15" hidden="false" customHeight="false" outlineLevel="0" collapsed="false">
      <c r="A60" s="6" t="s">
        <v>150</v>
      </c>
      <c r="B60" s="7" t="n">
        <v>45940</v>
      </c>
      <c r="C60" s="6" t="s">
        <v>64</v>
      </c>
      <c r="D60" s="6" t="s">
        <v>79</v>
      </c>
      <c r="E60" s="6" t="s">
        <v>143</v>
      </c>
      <c r="F60" s="6" t="s">
        <v>40</v>
      </c>
      <c r="G60" s="6" t="s">
        <v>41</v>
      </c>
      <c r="H60" s="6" t="s">
        <v>42</v>
      </c>
      <c r="I60" s="6" t="s">
        <v>43</v>
      </c>
      <c r="J60" s="6"/>
      <c r="K60" s="6"/>
      <c r="L60" s="6"/>
      <c r="M60" s="6" t="str">
        <f aca="false">IF(AND(K60&lt;&gt;"",L60&lt;&gt;""),L60-K60,"")</f>
        <v/>
      </c>
      <c r="N60" s="7" t="n">
        <v>45952</v>
      </c>
      <c r="O60" s="6" t="n">
        <f aca="false">IF(F60="Serious",15,"N/A")</f>
        <v>15</v>
      </c>
      <c r="P60" s="6" t="n">
        <f aca="false">N60-B60</f>
        <v>12</v>
      </c>
      <c r="Q60" s="6" t="str">
        <f aca="false">IF(F60="Serious",IF(P60&lt;=O60,"Yes","No"),"N/A")</f>
        <v>Yes</v>
      </c>
      <c r="R60" s="6" t="str">
        <f aca="false">IF(AND(I60="Yes",L60=""),Dashboard!$B$2-K60,"")</f>
        <v/>
      </c>
    </row>
    <row r="61" customFormat="false" ht="15" hidden="false" customHeight="false" outlineLevel="0" collapsed="false">
      <c r="A61" s="6" t="s">
        <v>151</v>
      </c>
      <c r="B61" s="7" t="n">
        <v>46160</v>
      </c>
      <c r="C61" s="6" t="s">
        <v>49</v>
      </c>
      <c r="D61" s="6" t="s">
        <v>79</v>
      </c>
      <c r="E61" s="6" t="s">
        <v>80</v>
      </c>
      <c r="F61" s="6" t="s">
        <v>52</v>
      </c>
      <c r="G61" s="6" t="s">
        <v>59</v>
      </c>
      <c r="H61" s="6" t="s">
        <v>60</v>
      </c>
      <c r="I61" s="6" t="s">
        <v>43</v>
      </c>
      <c r="J61" s="6"/>
      <c r="K61" s="6"/>
      <c r="L61" s="6"/>
      <c r="M61" s="6" t="str">
        <f aca="false">IF(AND(K61&lt;&gt;"",L61&lt;&gt;""),L61-K61,"")</f>
        <v/>
      </c>
      <c r="N61" s="7" t="n">
        <v>46188</v>
      </c>
      <c r="O61" s="6" t="str">
        <f aca="false">IF(F61="Serious",15,"N/A")</f>
        <v>N/A</v>
      </c>
      <c r="P61" s="6" t="n">
        <f aca="false">N61-B61</f>
        <v>28</v>
      </c>
      <c r="Q61" s="6" t="str">
        <f aca="false">IF(F61="Serious",IF(P61&lt;=O61,"Yes","No"),"N/A")</f>
        <v>N/A</v>
      </c>
      <c r="R61" s="6" t="str">
        <f aca="false">IF(AND(I61="Yes",L61=""),Dashboard!$B$2-K61,"")</f>
        <v/>
      </c>
    </row>
    <row r="62" customFormat="false" ht="15" hidden="false" customHeight="false" outlineLevel="0" collapsed="false">
      <c r="A62" s="6" t="s">
        <v>152</v>
      </c>
      <c r="B62" s="7" t="n">
        <v>46142</v>
      </c>
      <c r="C62" s="6" t="s">
        <v>64</v>
      </c>
      <c r="D62" s="6" t="s">
        <v>85</v>
      </c>
      <c r="E62" s="6" t="s">
        <v>109</v>
      </c>
      <c r="F62" s="6" t="s">
        <v>52</v>
      </c>
      <c r="G62" s="6" t="s">
        <v>41</v>
      </c>
      <c r="H62" s="6" t="s">
        <v>60</v>
      </c>
      <c r="I62" s="6" t="s">
        <v>43</v>
      </c>
      <c r="J62" s="6"/>
      <c r="K62" s="6"/>
      <c r="L62" s="6"/>
      <c r="M62" s="6" t="str">
        <f aca="false">IF(AND(K62&lt;&gt;"",L62&lt;&gt;""),L62-K62,"")</f>
        <v/>
      </c>
      <c r="N62" s="7" t="n">
        <v>46164</v>
      </c>
      <c r="O62" s="6" t="str">
        <f aca="false">IF(F62="Serious",15,"N/A")</f>
        <v>N/A</v>
      </c>
      <c r="P62" s="6" t="n">
        <f aca="false">N62-B62</f>
        <v>22</v>
      </c>
      <c r="Q62" s="6" t="str">
        <f aca="false">IF(F62="Serious",IF(P62&lt;=O62,"Yes","No"),"N/A")</f>
        <v>N/A</v>
      </c>
      <c r="R62" s="6" t="str">
        <f aca="false">IF(AND(I62="Yes",L62=""),Dashboard!$B$2-K62,"")</f>
        <v/>
      </c>
    </row>
    <row r="63" customFormat="false" ht="15" hidden="false" customHeight="false" outlineLevel="0" collapsed="false">
      <c r="A63" s="6" t="s">
        <v>153</v>
      </c>
      <c r="B63" s="7" t="n">
        <v>45971</v>
      </c>
      <c r="C63" s="6" t="s">
        <v>73</v>
      </c>
      <c r="D63" s="6" t="s">
        <v>57</v>
      </c>
      <c r="E63" s="6" t="s">
        <v>94</v>
      </c>
      <c r="F63" s="6" t="s">
        <v>52</v>
      </c>
      <c r="G63" s="6" t="s">
        <v>59</v>
      </c>
      <c r="H63" s="6" t="s">
        <v>42</v>
      </c>
      <c r="I63" s="6" t="s">
        <v>43</v>
      </c>
      <c r="J63" s="6"/>
      <c r="K63" s="6"/>
      <c r="L63" s="6"/>
      <c r="M63" s="6" t="str">
        <f aca="false">IF(AND(K63&lt;&gt;"",L63&lt;&gt;""),L63-K63,"")</f>
        <v/>
      </c>
      <c r="N63" s="7" t="n">
        <v>46020</v>
      </c>
      <c r="O63" s="6" t="str">
        <f aca="false">IF(F63="Serious",15,"N/A")</f>
        <v>N/A</v>
      </c>
      <c r="P63" s="6" t="n">
        <f aca="false">N63-B63</f>
        <v>49</v>
      </c>
      <c r="Q63" s="6" t="str">
        <f aca="false">IF(F63="Serious",IF(P63&lt;=O63,"Yes","No"),"N/A")</f>
        <v>N/A</v>
      </c>
      <c r="R63" s="6" t="str">
        <f aca="false">IF(AND(I63="Yes",L63=""),Dashboard!$B$2-K63,"")</f>
        <v/>
      </c>
    </row>
    <row r="64" customFormat="false" ht="15" hidden="false" customHeight="false" outlineLevel="0" collapsed="false">
      <c r="A64" s="6" t="s">
        <v>154</v>
      </c>
      <c r="B64" s="7" t="n">
        <v>45847</v>
      </c>
      <c r="C64" s="6" t="s">
        <v>56</v>
      </c>
      <c r="D64" s="6" t="s">
        <v>57</v>
      </c>
      <c r="E64" s="6" t="s">
        <v>58</v>
      </c>
      <c r="F64" s="6" t="s">
        <v>52</v>
      </c>
      <c r="G64" s="6" t="s">
        <v>47</v>
      </c>
      <c r="H64" s="6" t="s">
        <v>42</v>
      </c>
      <c r="I64" s="6" t="s">
        <v>61</v>
      </c>
      <c r="J64" s="6" t="s">
        <v>89</v>
      </c>
      <c r="K64" s="7" t="n">
        <v>45851</v>
      </c>
      <c r="L64" s="7" t="n">
        <v>45863</v>
      </c>
      <c r="M64" s="6" t="n">
        <f aca="false">IF(AND(K64&lt;&gt;"",L64&lt;&gt;""),L64-K64,"")</f>
        <v>12</v>
      </c>
      <c r="N64" s="7" t="n">
        <v>45871</v>
      </c>
      <c r="O64" s="6" t="str">
        <f aca="false">IF(F64="Serious",15,"N/A")</f>
        <v>N/A</v>
      </c>
      <c r="P64" s="6" t="n">
        <f aca="false">N64-B64</f>
        <v>24</v>
      </c>
      <c r="Q64" s="6" t="str">
        <f aca="false">IF(F64="Serious",IF(P64&lt;=O64,"Yes","No"),"N/A")</f>
        <v>N/A</v>
      </c>
      <c r="R64" s="6" t="str">
        <f aca="false">IF(AND(I64="Yes",L64=""),Dashboard!$B$2-K64,"")</f>
        <v/>
      </c>
    </row>
    <row r="65" customFormat="false" ht="15" hidden="false" customHeight="false" outlineLevel="0" collapsed="false">
      <c r="A65" s="6" t="s">
        <v>155</v>
      </c>
      <c r="B65" s="7" t="n">
        <v>45672</v>
      </c>
      <c r="C65" s="6" t="s">
        <v>64</v>
      </c>
      <c r="D65" s="6" t="s">
        <v>82</v>
      </c>
      <c r="E65" s="6" t="s">
        <v>83</v>
      </c>
      <c r="F65" s="6" t="s">
        <v>40</v>
      </c>
      <c r="G65" s="6" t="s">
        <v>53</v>
      </c>
      <c r="H65" s="6" t="s">
        <v>60</v>
      </c>
      <c r="I65" s="6" t="s">
        <v>43</v>
      </c>
      <c r="J65" s="6"/>
      <c r="K65" s="6"/>
      <c r="L65" s="6"/>
      <c r="M65" s="6" t="str">
        <f aca="false">IF(AND(K65&lt;&gt;"",L65&lt;&gt;""),L65-K65,"")</f>
        <v/>
      </c>
      <c r="N65" s="7" t="n">
        <v>45686</v>
      </c>
      <c r="O65" s="6" t="n">
        <f aca="false">IF(F65="Serious",15,"N/A")</f>
        <v>15</v>
      </c>
      <c r="P65" s="6" t="n">
        <f aca="false">N65-B65</f>
        <v>14</v>
      </c>
      <c r="Q65" s="6" t="str">
        <f aca="false">IF(F65="Serious",IF(P65&lt;=O65,"Yes","No"),"N/A")</f>
        <v>Yes</v>
      </c>
      <c r="R65" s="6" t="str">
        <f aca="false">IF(AND(I65="Yes",L65=""),Dashboard!$B$2-K65,"")</f>
        <v/>
      </c>
    </row>
    <row r="66" customFormat="false" ht="15" hidden="false" customHeight="false" outlineLevel="0" collapsed="false">
      <c r="A66" s="6" t="s">
        <v>156</v>
      </c>
      <c r="B66" s="7" t="n">
        <v>46160</v>
      </c>
      <c r="C66" s="6" t="s">
        <v>37</v>
      </c>
      <c r="D66" s="6" t="s">
        <v>79</v>
      </c>
      <c r="E66" s="6" t="s">
        <v>112</v>
      </c>
      <c r="F66" s="6" t="s">
        <v>52</v>
      </c>
      <c r="G66" s="6" t="s">
        <v>59</v>
      </c>
      <c r="H66" s="6" t="s">
        <v>60</v>
      </c>
      <c r="I66" s="6" t="s">
        <v>61</v>
      </c>
      <c r="J66" s="6" t="s">
        <v>74</v>
      </c>
      <c r="K66" s="7" t="n">
        <v>46162</v>
      </c>
      <c r="L66" s="6"/>
      <c r="M66" s="6" t="str">
        <f aca="false">IF(AND(K66&lt;&gt;"",L66&lt;&gt;""),L66-K66,"")</f>
        <v/>
      </c>
      <c r="N66" s="7" t="n">
        <v>46190</v>
      </c>
      <c r="O66" s="6" t="str">
        <f aca="false">IF(F66="Serious",15,"N/A")</f>
        <v>N/A</v>
      </c>
      <c r="P66" s="6" t="n">
        <f aca="false">N66-B66</f>
        <v>30</v>
      </c>
      <c r="Q66" s="6" t="str">
        <f aca="false">IF(F66="Serious",IF(P66&lt;=O66,"Yes","No"),"N/A")</f>
        <v>N/A</v>
      </c>
      <c r="R66" s="6" t="n">
        <f aca="false">IF(AND(I66="Yes",L66=""),Dashboard!$B$2-K66,"")</f>
        <v>52</v>
      </c>
    </row>
    <row r="67" customFormat="false" ht="15" hidden="false" customHeight="false" outlineLevel="0" collapsed="false">
      <c r="A67" s="6" t="s">
        <v>157</v>
      </c>
      <c r="B67" s="7" t="n">
        <v>46161</v>
      </c>
      <c r="C67" s="6" t="s">
        <v>37</v>
      </c>
      <c r="D67" s="6" t="s">
        <v>50</v>
      </c>
      <c r="E67" s="6" t="s">
        <v>138</v>
      </c>
      <c r="F67" s="6" t="s">
        <v>40</v>
      </c>
      <c r="G67" s="6" t="s">
        <v>88</v>
      </c>
      <c r="H67" s="6" t="s">
        <v>54</v>
      </c>
      <c r="I67" s="6" t="s">
        <v>61</v>
      </c>
      <c r="J67" s="6" t="s">
        <v>98</v>
      </c>
      <c r="K67" s="7" t="n">
        <v>46163</v>
      </c>
      <c r="L67" s="7" t="n">
        <v>46177</v>
      </c>
      <c r="M67" s="6" t="n">
        <f aca="false">IF(AND(K67&lt;&gt;"",L67&lt;&gt;""),L67-K67,"")</f>
        <v>14</v>
      </c>
      <c r="N67" s="7" t="n">
        <v>46172</v>
      </c>
      <c r="O67" s="6" t="n">
        <f aca="false">IF(F67="Serious",15,"N/A")</f>
        <v>15</v>
      </c>
      <c r="P67" s="6" t="n">
        <f aca="false">N67-B67</f>
        <v>11</v>
      </c>
      <c r="Q67" s="6" t="str">
        <f aca="false">IF(F67="Serious",IF(P67&lt;=O67,"Yes","No"),"N/A")</f>
        <v>Yes</v>
      </c>
      <c r="R67" s="6" t="str">
        <f aca="false">IF(AND(I67="Yes",L67=""),Dashboard!$B$2-K67,"")</f>
        <v/>
      </c>
    </row>
    <row r="68" customFormat="false" ht="15" hidden="false" customHeight="false" outlineLevel="0" collapsed="false">
      <c r="A68" s="6" t="s">
        <v>158</v>
      </c>
      <c r="B68" s="7" t="n">
        <v>45889</v>
      </c>
      <c r="C68" s="6" t="s">
        <v>64</v>
      </c>
      <c r="D68" s="6" t="s">
        <v>101</v>
      </c>
      <c r="E68" s="6" t="s">
        <v>102</v>
      </c>
      <c r="F68" s="6" t="s">
        <v>52</v>
      </c>
      <c r="G68" s="6" t="s">
        <v>53</v>
      </c>
      <c r="H68" s="6" t="s">
        <v>42</v>
      </c>
      <c r="I68" s="6" t="s">
        <v>61</v>
      </c>
      <c r="J68" s="6" t="s">
        <v>76</v>
      </c>
      <c r="K68" s="7" t="n">
        <v>45899</v>
      </c>
      <c r="L68" s="7" t="n">
        <v>45935</v>
      </c>
      <c r="M68" s="6" t="n">
        <f aca="false">IF(AND(K68&lt;&gt;"",L68&lt;&gt;""),L68-K68,"")</f>
        <v>36</v>
      </c>
      <c r="N68" s="7" t="n">
        <v>45900</v>
      </c>
      <c r="O68" s="6" t="str">
        <f aca="false">IF(F68="Serious",15,"N/A")</f>
        <v>N/A</v>
      </c>
      <c r="P68" s="6" t="n">
        <f aca="false">N68-B68</f>
        <v>11</v>
      </c>
      <c r="Q68" s="6" t="str">
        <f aca="false">IF(F68="Serious",IF(P68&lt;=O68,"Yes","No"),"N/A")</f>
        <v>N/A</v>
      </c>
      <c r="R68" s="6" t="str">
        <f aca="false">IF(AND(I68="Yes",L68=""),Dashboard!$B$2-K68,"")</f>
        <v/>
      </c>
    </row>
    <row r="69" customFormat="false" ht="15" hidden="false" customHeight="false" outlineLevel="0" collapsed="false">
      <c r="A69" s="6" t="s">
        <v>159</v>
      </c>
      <c r="B69" s="7" t="n">
        <v>45870</v>
      </c>
      <c r="C69" s="6" t="s">
        <v>56</v>
      </c>
      <c r="D69" s="6" t="s">
        <v>38</v>
      </c>
      <c r="E69" s="6" t="s">
        <v>39</v>
      </c>
      <c r="F69" s="6" t="s">
        <v>40</v>
      </c>
      <c r="G69" s="6" t="s">
        <v>53</v>
      </c>
      <c r="H69" s="6" t="s">
        <v>60</v>
      </c>
      <c r="I69" s="6" t="s">
        <v>61</v>
      </c>
      <c r="J69" s="6" t="s">
        <v>74</v>
      </c>
      <c r="K69" s="7" t="n">
        <v>45880</v>
      </c>
      <c r="L69" s="7" t="n">
        <v>45884</v>
      </c>
      <c r="M69" s="6" t="n">
        <f aca="false">IF(AND(K69&lt;&gt;"",L69&lt;&gt;""),L69-K69,"")</f>
        <v>4</v>
      </c>
      <c r="N69" s="7" t="n">
        <v>45876</v>
      </c>
      <c r="O69" s="6" t="n">
        <f aca="false">IF(F69="Serious",15,"N/A")</f>
        <v>15</v>
      </c>
      <c r="P69" s="6" t="n">
        <f aca="false">N69-B69</f>
        <v>6</v>
      </c>
      <c r="Q69" s="6" t="str">
        <f aca="false">IF(F69="Serious",IF(P69&lt;=O69,"Yes","No"),"N/A")</f>
        <v>Yes</v>
      </c>
      <c r="R69" s="6" t="str">
        <f aca="false">IF(AND(I69="Yes",L69=""),Dashboard!$B$2-K69,"")</f>
        <v/>
      </c>
    </row>
    <row r="70" customFormat="false" ht="15" hidden="false" customHeight="false" outlineLevel="0" collapsed="false">
      <c r="A70" s="6" t="s">
        <v>160</v>
      </c>
      <c r="B70" s="7" t="n">
        <v>46122</v>
      </c>
      <c r="C70" s="6" t="s">
        <v>37</v>
      </c>
      <c r="D70" s="6" t="s">
        <v>57</v>
      </c>
      <c r="E70" s="6" t="s">
        <v>58</v>
      </c>
      <c r="F70" s="6" t="s">
        <v>52</v>
      </c>
      <c r="G70" s="6" t="s">
        <v>66</v>
      </c>
      <c r="H70" s="6" t="s">
        <v>42</v>
      </c>
      <c r="I70" s="6" t="s">
        <v>43</v>
      </c>
      <c r="J70" s="6"/>
      <c r="K70" s="6"/>
      <c r="L70" s="6"/>
      <c r="M70" s="6" t="str">
        <f aca="false">IF(AND(K70&lt;&gt;"",L70&lt;&gt;""),L70-K70,"")</f>
        <v/>
      </c>
      <c r="N70" s="7" t="n">
        <v>46154</v>
      </c>
      <c r="O70" s="6" t="str">
        <f aca="false">IF(F70="Serious",15,"N/A")</f>
        <v>N/A</v>
      </c>
      <c r="P70" s="6" t="n">
        <f aca="false">N70-B70</f>
        <v>32</v>
      </c>
      <c r="Q70" s="6" t="str">
        <f aca="false">IF(F70="Serious",IF(P70&lt;=O70,"Yes","No"),"N/A")</f>
        <v>N/A</v>
      </c>
      <c r="R70" s="6" t="str">
        <f aca="false">IF(AND(I70="Yes",L70=""),Dashboard!$B$2-K70,"")</f>
        <v/>
      </c>
    </row>
    <row r="71" customFormat="false" ht="15" hidden="false" customHeight="false" outlineLevel="0" collapsed="false">
      <c r="A71" s="6" t="s">
        <v>161</v>
      </c>
      <c r="B71" s="7" t="n">
        <v>45775</v>
      </c>
      <c r="C71" s="6" t="s">
        <v>64</v>
      </c>
      <c r="D71" s="6" t="s">
        <v>57</v>
      </c>
      <c r="E71" s="6" t="s">
        <v>94</v>
      </c>
      <c r="F71" s="6" t="s">
        <v>52</v>
      </c>
      <c r="G71" s="6" t="s">
        <v>88</v>
      </c>
      <c r="H71" s="6" t="s">
        <v>60</v>
      </c>
      <c r="I71" s="6" t="s">
        <v>61</v>
      </c>
      <c r="J71" s="6" t="s">
        <v>62</v>
      </c>
      <c r="K71" s="7" t="n">
        <v>45785</v>
      </c>
      <c r="L71" s="7" t="n">
        <v>45803</v>
      </c>
      <c r="M71" s="6" t="n">
        <f aca="false">IF(AND(K71&lt;&gt;"",L71&lt;&gt;""),L71-K71,"")</f>
        <v>18</v>
      </c>
      <c r="N71" s="7" t="n">
        <v>45798</v>
      </c>
      <c r="O71" s="6" t="str">
        <f aca="false">IF(F71="Serious",15,"N/A")</f>
        <v>N/A</v>
      </c>
      <c r="P71" s="6" t="n">
        <f aca="false">N71-B71</f>
        <v>23</v>
      </c>
      <c r="Q71" s="6" t="str">
        <f aca="false">IF(F71="Serious",IF(P71&lt;=O71,"Yes","No"),"N/A")</f>
        <v>N/A</v>
      </c>
      <c r="R71" s="6" t="str">
        <f aca="false">IF(AND(I71="Yes",L71=""),Dashboard!$B$2-K71,"")</f>
        <v/>
      </c>
    </row>
    <row r="72" customFormat="false" ht="15" hidden="false" customHeight="false" outlineLevel="0" collapsed="false">
      <c r="A72" s="6" t="s">
        <v>162</v>
      </c>
      <c r="B72" s="7" t="n">
        <v>46107</v>
      </c>
      <c r="C72" s="6" t="s">
        <v>37</v>
      </c>
      <c r="D72" s="6" t="s">
        <v>69</v>
      </c>
      <c r="E72" s="6" t="s">
        <v>70</v>
      </c>
      <c r="F72" s="6" t="s">
        <v>52</v>
      </c>
      <c r="G72" s="6" t="s">
        <v>71</v>
      </c>
      <c r="H72" s="6" t="s">
        <v>42</v>
      </c>
      <c r="I72" s="6" t="s">
        <v>61</v>
      </c>
      <c r="J72" s="6" t="s">
        <v>89</v>
      </c>
      <c r="K72" s="7" t="n">
        <v>46117</v>
      </c>
      <c r="L72" s="7" t="n">
        <v>46131</v>
      </c>
      <c r="M72" s="6" t="n">
        <f aca="false">IF(AND(K72&lt;&gt;"",L72&lt;&gt;""),L72-K72,"")</f>
        <v>14</v>
      </c>
      <c r="N72" s="7" t="n">
        <v>46132</v>
      </c>
      <c r="O72" s="6" t="str">
        <f aca="false">IF(F72="Serious",15,"N/A")</f>
        <v>N/A</v>
      </c>
      <c r="P72" s="6" t="n">
        <f aca="false">N72-B72</f>
        <v>25</v>
      </c>
      <c r="Q72" s="6" t="str">
        <f aca="false">IF(F72="Serious",IF(P72&lt;=O72,"Yes","No"),"N/A")</f>
        <v>N/A</v>
      </c>
      <c r="R72" s="6" t="str">
        <f aca="false">IF(AND(I72="Yes",L72=""),Dashboard!$B$2-K72,"")</f>
        <v/>
      </c>
    </row>
    <row r="73" customFormat="false" ht="15" hidden="false" customHeight="false" outlineLevel="0" collapsed="false">
      <c r="A73" s="6" t="s">
        <v>163</v>
      </c>
      <c r="B73" s="7" t="n">
        <v>45914</v>
      </c>
      <c r="C73" s="6" t="s">
        <v>37</v>
      </c>
      <c r="D73" s="6" t="s">
        <v>45</v>
      </c>
      <c r="E73" s="6" t="s">
        <v>46</v>
      </c>
      <c r="F73" s="6" t="s">
        <v>52</v>
      </c>
      <c r="G73" s="6" t="s">
        <v>88</v>
      </c>
      <c r="H73" s="6" t="s">
        <v>42</v>
      </c>
      <c r="I73" s="6" t="s">
        <v>43</v>
      </c>
      <c r="J73" s="6"/>
      <c r="K73" s="6"/>
      <c r="L73" s="6"/>
      <c r="M73" s="6" t="str">
        <f aca="false">IF(AND(K73&lt;&gt;"",L73&lt;&gt;""),L73-K73,"")</f>
        <v/>
      </c>
      <c r="N73" s="7" t="n">
        <v>45967</v>
      </c>
      <c r="O73" s="6" t="str">
        <f aca="false">IF(F73="Serious",15,"N/A")</f>
        <v>N/A</v>
      </c>
      <c r="P73" s="6" t="n">
        <f aca="false">N73-B73</f>
        <v>53</v>
      </c>
      <c r="Q73" s="6" t="str">
        <f aca="false">IF(F73="Serious",IF(P73&lt;=O73,"Yes","No"),"N/A")</f>
        <v>N/A</v>
      </c>
      <c r="R73" s="6" t="str">
        <f aca="false">IF(AND(I73="Yes",L73=""),Dashboard!$B$2-K73,"")</f>
        <v/>
      </c>
    </row>
    <row r="74" customFormat="false" ht="15" hidden="false" customHeight="false" outlineLevel="0" collapsed="false">
      <c r="A74" s="6" t="s">
        <v>164</v>
      </c>
      <c r="B74" s="7" t="n">
        <v>45933</v>
      </c>
      <c r="C74" s="6" t="s">
        <v>64</v>
      </c>
      <c r="D74" s="6" t="s">
        <v>79</v>
      </c>
      <c r="E74" s="6" t="s">
        <v>143</v>
      </c>
      <c r="F74" s="6" t="s">
        <v>52</v>
      </c>
      <c r="G74" s="6" t="s">
        <v>66</v>
      </c>
      <c r="H74" s="6" t="s">
        <v>54</v>
      </c>
      <c r="I74" s="6" t="s">
        <v>61</v>
      </c>
      <c r="J74" s="6" t="s">
        <v>76</v>
      </c>
      <c r="K74" s="7" t="n">
        <v>45940</v>
      </c>
      <c r="L74" s="7" t="n">
        <v>45956</v>
      </c>
      <c r="M74" s="6" t="n">
        <f aca="false">IF(AND(K74&lt;&gt;"",L74&lt;&gt;""),L74-K74,"")</f>
        <v>16</v>
      </c>
      <c r="N74" s="7" t="n">
        <v>45943</v>
      </c>
      <c r="O74" s="6" t="str">
        <f aca="false">IF(F74="Serious",15,"N/A")</f>
        <v>N/A</v>
      </c>
      <c r="P74" s="6" t="n">
        <f aca="false">N74-B74</f>
        <v>10</v>
      </c>
      <c r="Q74" s="6" t="str">
        <f aca="false">IF(F74="Serious",IF(P74&lt;=O74,"Yes","No"),"N/A")</f>
        <v>N/A</v>
      </c>
      <c r="R74" s="6" t="str">
        <f aca="false">IF(AND(I74="Yes",L74=""),Dashboard!$B$2-K74,"")</f>
        <v/>
      </c>
    </row>
    <row r="75" customFormat="false" ht="15" hidden="false" customHeight="false" outlineLevel="0" collapsed="false">
      <c r="A75" s="6" t="s">
        <v>165</v>
      </c>
      <c r="B75" s="7" t="n">
        <v>46139</v>
      </c>
      <c r="C75" s="6" t="s">
        <v>73</v>
      </c>
      <c r="D75" s="6" t="s">
        <v>101</v>
      </c>
      <c r="E75" s="6" t="s">
        <v>102</v>
      </c>
      <c r="F75" s="6" t="s">
        <v>52</v>
      </c>
      <c r="G75" s="6" t="s">
        <v>53</v>
      </c>
      <c r="H75" s="6" t="s">
        <v>60</v>
      </c>
      <c r="I75" s="6" t="s">
        <v>61</v>
      </c>
      <c r="J75" s="6" t="s">
        <v>74</v>
      </c>
      <c r="K75" s="7" t="n">
        <v>46144</v>
      </c>
      <c r="L75" s="7" t="n">
        <v>46157</v>
      </c>
      <c r="M75" s="6" t="n">
        <f aca="false">IF(AND(K75&lt;&gt;"",L75&lt;&gt;""),L75-K75,"")</f>
        <v>13</v>
      </c>
      <c r="N75" s="7" t="n">
        <v>46192</v>
      </c>
      <c r="O75" s="6" t="str">
        <f aca="false">IF(F75="Serious",15,"N/A")</f>
        <v>N/A</v>
      </c>
      <c r="P75" s="6" t="n">
        <f aca="false">N75-B75</f>
        <v>53</v>
      </c>
      <c r="Q75" s="6" t="str">
        <f aca="false">IF(F75="Serious",IF(P75&lt;=O75,"Yes","No"),"N/A")</f>
        <v>N/A</v>
      </c>
      <c r="R75" s="6" t="str">
        <f aca="false">IF(AND(I75="Yes",L75=""),Dashboard!$B$2-K75,"")</f>
        <v/>
      </c>
    </row>
    <row r="76" customFormat="false" ht="15" hidden="false" customHeight="false" outlineLevel="0" collapsed="false">
      <c r="A76" s="6" t="s">
        <v>166</v>
      </c>
      <c r="B76" s="7" t="n">
        <v>45695</v>
      </c>
      <c r="C76" s="6" t="s">
        <v>49</v>
      </c>
      <c r="D76" s="6" t="s">
        <v>45</v>
      </c>
      <c r="E76" s="6" t="s">
        <v>167</v>
      </c>
      <c r="F76" s="6" t="s">
        <v>52</v>
      </c>
      <c r="G76" s="6" t="s">
        <v>53</v>
      </c>
      <c r="H76" s="6" t="s">
        <v>42</v>
      </c>
      <c r="I76" s="6" t="s">
        <v>43</v>
      </c>
      <c r="J76" s="6"/>
      <c r="K76" s="6"/>
      <c r="L76" s="6"/>
      <c r="M76" s="6" t="str">
        <f aca="false">IF(AND(K76&lt;&gt;"",L76&lt;&gt;""),L76-K76,"")</f>
        <v/>
      </c>
      <c r="N76" s="7" t="n">
        <v>45752</v>
      </c>
      <c r="O76" s="6" t="str">
        <f aca="false">IF(F76="Serious",15,"N/A")</f>
        <v>N/A</v>
      </c>
      <c r="P76" s="6" t="n">
        <f aca="false">N76-B76</f>
        <v>57</v>
      </c>
      <c r="Q76" s="6" t="str">
        <f aca="false">IF(F76="Serious",IF(P76&lt;=O76,"Yes","No"),"N/A")</f>
        <v>N/A</v>
      </c>
      <c r="R76" s="6" t="str">
        <f aca="false">IF(AND(I76="Yes",L76=""),Dashboard!$B$2-K76,"")</f>
        <v/>
      </c>
    </row>
    <row r="77" customFormat="false" ht="15" hidden="false" customHeight="false" outlineLevel="0" collapsed="false">
      <c r="A77" s="6" t="s">
        <v>168</v>
      </c>
      <c r="B77" s="7" t="n">
        <v>45659</v>
      </c>
      <c r="C77" s="6" t="s">
        <v>64</v>
      </c>
      <c r="D77" s="6" t="s">
        <v>69</v>
      </c>
      <c r="E77" s="6" t="s">
        <v>70</v>
      </c>
      <c r="F77" s="6" t="s">
        <v>40</v>
      </c>
      <c r="G77" s="6" t="s">
        <v>47</v>
      </c>
      <c r="H77" s="6" t="s">
        <v>42</v>
      </c>
      <c r="I77" s="6" t="s">
        <v>61</v>
      </c>
      <c r="J77" s="6" t="s">
        <v>74</v>
      </c>
      <c r="K77" s="7" t="n">
        <v>45660</v>
      </c>
      <c r="L77" s="7" t="n">
        <v>45677</v>
      </c>
      <c r="M77" s="6" t="n">
        <f aca="false">IF(AND(K77&lt;&gt;"",L77&lt;&gt;""),L77-K77,"")</f>
        <v>17</v>
      </c>
      <c r="N77" s="7" t="n">
        <v>45682</v>
      </c>
      <c r="O77" s="6" t="n">
        <f aca="false">IF(F77="Serious",15,"N/A")</f>
        <v>15</v>
      </c>
      <c r="P77" s="6" t="n">
        <f aca="false">N77-B77</f>
        <v>23</v>
      </c>
      <c r="Q77" s="6" t="str">
        <f aca="false">IF(F77="Serious",IF(P77&lt;=O77,"Yes","No"),"N/A")</f>
        <v>No</v>
      </c>
      <c r="R77" s="6" t="str">
        <f aca="false">IF(AND(I77="Yes",L77=""),Dashboard!$B$2-K77,"")</f>
        <v/>
      </c>
    </row>
    <row r="78" customFormat="false" ht="15" hidden="false" customHeight="false" outlineLevel="0" collapsed="false">
      <c r="A78" s="6" t="s">
        <v>169</v>
      </c>
      <c r="B78" s="7" t="n">
        <v>46154</v>
      </c>
      <c r="C78" s="6" t="s">
        <v>37</v>
      </c>
      <c r="D78" s="6" t="s">
        <v>79</v>
      </c>
      <c r="E78" s="6" t="s">
        <v>143</v>
      </c>
      <c r="F78" s="6" t="s">
        <v>52</v>
      </c>
      <c r="G78" s="6" t="s">
        <v>59</v>
      </c>
      <c r="H78" s="6" t="s">
        <v>60</v>
      </c>
      <c r="I78" s="6" t="s">
        <v>61</v>
      </c>
      <c r="J78" s="6" t="s">
        <v>98</v>
      </c>
      <c r="K78" s="7" t="n">
        <v>46156</v>
      </c>
      <c r="L78" s="7" t="n">
        <v>46163</v>
      </c>
      <c r="M78" s="6" t="n">
        <f aca="false">IF(AND(K78&lt;&gt;"",L78&lt;&gt;""),L78-K78,"")</f>
        <v>7</v>
      </c>
      <c r="N78" s="7" t="n">
        <v>46212</v>
      </c>
      <c r="O78" s="6" t="str">
        <f aca="false">IF(F78="Serious",15,"N/A")</f>
        <v>N/A</v>
      </c>
      <c r="P78" s="6" t="n">
        <f aca="false">N78-B78</f>
        <v>58</v>
      </c>
      <c r="Q78" s="6" t="str">
        <f aca="false">IF(F78="Serious",IF(P78&lt;=O78,"Yes","No"),"N/A")</f>
        <v>N/A</v>
      </c>
      <c r="R78" s="6" t="str">
        <f aca="false">IF(AND(I78="Yes",L78=""),Dashboard!$B$2-K78,"")</f>
        <v/>
      </c>
    </row>
    <row r="79" customFormat="false" ht="15" hidden="false" customHeight="false" outlineLevel="0" collapsed="false">
      <c r="A79" s="6" t="s">
        <v>170</v>
      </c>
      <c r="B79" s="7" t="n">
        <v>45815</v>
      </c>
      <c r="C79" s="6" t="s">
        <v>49</v>
      </c>
      <c r="D79" s="6" t="s">
        <v>38</v>
      </c>
      <c r="E79" s="6" t="s">
        <v>65</v>
      </c>
      <c r="F79" s="6" t="s">
        <v>52</v>
      </c>
      <c r="G79" s="6" t="s">
        <v>59</v>
      </c>
      <c r="H79" s="6" t="s">
        <v>42</v>
      </c>
      <c r="I79" s="6" t="s">
        <v>61</v>
      </c>
      <c r="J79" s="6" t="s">
        <v>98</v>
      </c>
      <c r="K79" s="7" t="n">
        <v>45822</v>
      </c>
      <c r="L79" s="7" t="n">
        <v>45841</v>
      </c>
      <c r="M79" s="6" t="n">
        <f aca="false">IF(AND(K79&lt;&gt;"",L79&lt;&gt;""),L79-K79,"")</f>
        <v>19</v>
      </c>
      <c r="N79" s="7" t="n">
        <v>45867</v>
      </c>
      <c r="O79" s="6" t="str">
        <f aca="false">IF(F79="Serious",15,"N/A")</f>
        <v>N/A</v>
      </c>
      <c r="P79" s="6" t="n">
        <f aca="false">N79-B79</f>
        <v>52</v>
      </c>
      <c r="Q79" s="6" t="str">
        <f aca="false">IF(F79="Serious",IF(P79&lt;=O79,"Yes","No"),"N/A")</f>
        <v>N/A</v>
      </c>
      <c r="R79" s="6" t="str">
        <f aca="false">IF(AND(I79="Yes",L79=""),Dashboard!$B$2-K79,"")</f>
        <v/>
      </c>
    </row>
    <row r="80" customFormat="false" ht="15" hidden="false" customHeight="false" outlineLevel="0" collapsed="false">
      <c r="A80" s="6" t="s">
        <v>171</v>
      </c>
      <c r="B80" s="7" t="n">
        <v>45797</v>
      </c>
      <c r="C80" s="6" t="s">
        <v>37</v>
      </c>
      <c r="D80" s="6" t="s">
        <v>38</v>
      </c>
      <c r="E80" s="6" t="s">
        <v>65</v>
      </c>
      <c r="F80" s="6" t="s">
        <v>52</v>
      </c>
      <c r="G80" s="6" t="s">
        <v>41</v>
      </c>
      <c r="H80" s="6" t="s">
        <v>60</v>
      </c>
      <c r="I80" s="6" t="s">
        <v>61</v>
      </c>
      <c r="J80" s="6" t="s">
        <v>126</v>
      </c>
      <c r="K80" s="7" t="n">
        <v>45802</v>
      </c>
      <c r="L80" s="6"/>
      <c r="M80" s="6" t="str">
        <f aca="false">IF(AND(K80&lt;&gt;"",L80&lt;&gt;""),L80-K80,"")</f>
        <v/>
      </c>
      <c r="N80" s="7" t="n">
        <v>45839</v>
      </c>
      <c r="O80" s="6" t="str">
        <f aca="false">IF(F80="Serious",15,"N/A")</f>
        <v>N/A</v>
      </c>
      <c r="P80" s="6" t="n">
        <f aca="false">N80-B80</f>
        <v>42</v>
      </c>
      <c r="Q80" s="6" t="str">
        <f aca="false">IF(F80="Serious",IF(P80&lt;=O80,"Yes","No"),"N/A")</f>
        <v>N/A</v>
      </c>
      <c r="R80" s="6" t="n">
        <f aca="false">IF(AND(I80="Yes",L80=""),Dashboard!$B$2-K80,"")</f>
        <v>412</v>
      </c>
    </row>
    <row r="81" customFormat="false" ht="15" hidden="false" customHeight="false" outlineLevel="0" collapsed="false">
      <c r="A81" s="6" t="s">
        <v>172</v>
      </c>
      <c r="B81" s="7" t="n">
        <v>46159</v>
      </c>
      <c r="C81" s="6" t="s">
        <v>56</v>
      </c>
      <c r="D81" s="6" t="s">
        <v>69</v>
      </c>
      <c r="E81" s="6" t="s">
        <v>70</v>
      </c>
      <c r="F81" s="6" t="s">
        <v>52</v>
      </c>
      <c r="G81" s="6" t="s">
        <v>47</v>
      </c>
      <c r="H81" s="6" t="s">
        <v>42</v>
      </c>
      <c r="I81" s="6" t="s">
        <v>61</v>
      </c>
      <c r="J81" s="6" t="s">
        <v>62</v>
      </c>
      <c r="K81" s="7" t="n">
        <v>46163</v>
      </c>
      <c r="L81" s="6"/>
      <c r="M81" s="6" t="str">
        <f aca="false">IF(AND(K81&lt;&gt;"",L81&lt;&gt;""),L81-K81,"")</f>
        <v/>
      </c>
      <c r="N81" s="7" t="n">
        <v>46179</v>
      </c>
      <c r="O81" s="6" t="str">
        <f aca="false">IF(F81="Serious",15,"N/A")</f>
        <v>N/A</v>
      </c>
      <c r="P81" s="6" t="n">
        <f aca="false">N81-B81</f>
        <v>20</v>
      </c>
      <c r="Q81" s="6" t="str">
        <f aca="false">IF(F81="Serious",IF(P81&lt;=O81,"Yes","No"),"N/A")</f>
        <v>N/A</v>
      </c>
      <c r="R81" s="6" t="n">
        <f aca="false">IF(AND(I81="Yes",L81=""),Dashboard!$B$2-K81,"")</f>
        <v>51</v>
      </c>
    </row>
    <row r="82" customFormat="false" ht="15" hidden="false" customHeight="false" outlineLevel="0" collapsed="false">
      <c r="A82" s="6" t="s">
        <v>173</v>
      </c>
      <c r="B82" s="7" t="n">
        <v>46050</v>
      </c>
      <c r="C82" s="6" t="s">
        <v>56</v>
      </c>
      <c r="D82" s="6" t="s">
        <v>101</v>
      </c>
      <c r="E82" s="6" t="s">
        <v>124</v>
      </c>
      <c r="F82" s="6" t="s">
        <v>52</v>
      </c>
      <c r="G82" s="6" t="s">
        <v>59</v>
      </c>
      <c r="H82" s="6" t="s">
        <v>54</v>
      </c>
      <c r="I82" s="6" t="s">
        <v>61</v>
      </c>
      <c r="J82" s="6" t="s">
        <v>126</v>
      </c>
      <c r="K82" s="7" t="n">
        <v>46053</v>
      </c>
      <c r="L82" s="7" t="n">
        <v>46057</v>
      </c>
      <c r="M82" s="6" t="n">
        <f aca="false">IF(AND(K82&lt;&gt;"",L82&lt;&gt;""),L82-K82,"")</f>
        <v>4</v>
      </c>
      <c r="N82" s="7" t="n">
        <v>46087</v>
      </c>
      <c r="O82" s="6" t="str">
        <f aca="false">IF(F82="Serious",15,"N/A")</f>
        <v>N/A</v>
      </c>
      <c r="P82" s="6" t="n">
        <f aca="false">N82-B82</f>
        <v>37</v>
      </c>
      <c r="Q82" s="6" t="str">
        <f aca="false">IF(F82="Serious",IF(P82&lt;=O82,"Yes","No"),"N/A")</f>
        <v>N/A</v>
      </c>
      <c r="R82" s="6" t="str">
        <f aca="false">IF(AND(I82="Yes",L82=""),Dashboard!$B$2-K82,"")</f>
        <v/>
      </c>
    </row>
    <row r="83" customFormat="false" ht="15" hidden="false" customHeight="false" outlineLevel="0" collapsed="false">
      <c r="A83" s="6" t="s">
        <v>174</v>
      </c>
      <c r="B83" s="7" t="n">
        <v>45997</v>
      </c>
      <c r="C83" s="6" t="s">
        <v>37</v>
      </c>
      <c r="D83" s="6" t="s">
        <v>69</v>
      </c>
      <c r="E83" s="6" t="s">
        <v>118</v>
      </c>
      <c r="F83" s="6" t="s">
        <v>52</v>
      </c>
      <c r="G83" s="6" t="s">
        <v>59</v>
      </c>
      <c r="H83" s="6" t="s">
        <v>42</v>
      </c>
      <c r="I83" s="6" t="s">
        <v>61</v>
      </c>
      <c r="J83" s="6" t="s">
        <v>126</v>
      </c>
      <c r="K83" s="7" t="n">
        <v>46000</v>
      </c>
      <c r="L83" s="7" t="n">
        <v>46026</v>
      </c>
      <c r="M83" s="6" t="n">
        <f aca="false">IF(AND(K83&lt;&gt;"",L83&lt;&gt;""),L83-K83,"")</f>
        <v>26</v>
      </c>
      <c r="N83" s="7" t="n">
        <v>46018</v>
      </c>
      <c r="O83" s="6" t="str">
        <f aca="false">IF(F83="Serious",15,"N/A")</f>
        <v>N/A</v>
      </c>
      <c r="P83" s="6" t="n">
        <f aca="false">N83-B83</f>
        <v>21</v>
      </c>
      <c r="Q83" s="6" t="str">
        <f aca="false">IF(F83="Serious",IF(P83&lt;=O83,"Yes","No"),"N/A")</f>
        <v>N/A</v>
      </c>
      <c r="R83" s="6" t="str">
        <f aca="false">IF(AND(I83="Yes",L83=""),Dashboard!$B$2-K83,"")</f>
        <v/>
      </c>
    </row>
    <row r="84" customFormat="false" ht="15" hidden="false" customHeight="false" outlineLevel="0" collapsed="false">
      <c r="A84" s="6" t="s">
        <v>175</v>
      </c>
      <c r="B84" s="7" t="n">
        <v>46004</v>
      </c>
      <c r="C84" s="6" t="s">
        <v>64</v>
      </c>
      <c r="D84" s="6" t="s">
        <v>101</v>
      </c>
      <c r="E84" s="6" t="s">
        <v>132</v>
      </c>
      <c r="F84" s="6" t="s">
        <v>40</v>
      </c>
      <c r="G84" s="6" t="s">
        <v>59</v>
      </c>
      <c r="H84" s="6" t="s">
        <v>42</v>
      </c>
      <c r="I84" s="6" t="s">
        <v>61</v>
      </c>
      <c r="J84" s="6" t="s">
        <v>62</v>
      </c>
      <c r="K84" s="7" t="n">
        <v>46012</v>
      </c>
      <c r="L84" s="6"/>
      <c r="M84" s="6" t="str">
        <f aca="false">IF(AND(K84&lt;&gt;"",L84&lt;&gt;""),L84-K84,"")</f>
        <v/>
      </c>
      <c r="N84" s="7" t="n">
        <v>46007</v>
      </c>
      <c r="O84" s="6" t="n">
        <f aca="false">IF(F84="Serious",15,"N/A")</f>
        <v>15</v>
      </c>
      <c r="P84" s="6" t="n">
        <f aca="false">N84-B84</f>
        <v>3</v>
      </c>
      <c r="Q84" s="6" t="str">
        <f aca="false">IF(F84="Serious",IF(P84&lt;=O84,"Yes","No"),"N/A")</f>
        <v>Yes</v>
      </c>
      <c r="R84" s="6" t="n">
        <f aca="false">IF(AND(I84="Yes",L84=""),Dashboard!$B$2-K84,"")</f>
        <v>202</v>
      </c>
    </row>
    <row r="85" customFormat="false" ht="15" hidden="false" customHeight="false" outlineLevel="0" collapsed="false">
      <c r="A85" s="6" t="s">
        <v>176</v>
      </c>
      <c r="B85" s="7" t="n">
        <v>45898</v>
      </c>
      <c r="C85" s="6" t="s">
        <v>73</v>
      </c>
      <c r="D85" s="6" t="s">
        <v>57</v>
      </c>
      <c r="E85" s="6" t="s">
        <v>94</v>
      </c>
      <c r="F85" s="6" t="s">
        <v>52</v>
      </c>
      <c r="G85" s="6" t="s">
        <v>53</v>
      </c>
      <c r="H85" s="6" t="s">
        <v>42</v>
      </c>
      <c r="I85" s="6" t="s">
        <v>43</v>
      </c>
      <c r="J85" s="6"/>
      <c r="K85" s="6"/>
      <c r="L85" s="6"/>
      <c r="M85" s="6" t="str">
        <f aca="false">IF(AND(K85&lt;&gt;"",L85&lt;&gt;""),L85-K85,"")</f>
        <v/>
      </c>
      <c r="N85" s="7" t="n">
        <v>45931</v>
      </c>
      <c r="O85" s="6" t="str">
        <f aca="false">IF(F85="Serious",15,"N/A")</f>
        <v>N/A</v>
      </c>
      <c r="P85" s="6" t="n">
        <f aca="false">N85-B85</f>
        <v>33</v>
      </c>
      <c r="Q85" s="6" t="str">
        <f aca="false">IF(F85="Serious",IF(P85&lt;=O85,"Yes","No"),"N/A")</f>
        <v>N/A</v>
      </c>
      <c r="R85" s="6" t="str">
        <f aca="false">IF(AND(I85="Yes",L85=""),Dashboard!$B$2-K85,"")</f>
        <v/>
      </c>
    </row>
    <row r="86" customFormat="false" ht="15" hidden="false" customHeight="false" outlineLevel="0" collapsed="false">
      <c r="A86" s="6" t="s">
        <v>177</v>
      </c>
      <c r="B86" s="7" t="n">
        <v>45828</v>
      </c>
      <c r="C86" s="6" t="s">
        <v>73</v>
      </c>
      <c r="D86" s="6" t="s">
        <v>79</v>
      </c>
      <c r="E86" s="6" t="s">
        <v>80</v>
      </c>
      <c r="F86" s="6" t="s">
        <v>52</v>
      </c>
      <c r="G86" s="6" t="s">
        <v>53</v>
      </c>
      <c r="H86" s="6" t="s">
        <v>60</v>
      </c>
      <c r="I86" s="6" t="s">
        <v>61</v>
      </c>
      <c r="J86" s="6" t="s">
        <v>98</v>
      </c>
      <c r="K86" s="7" t="n">
        <v>45837</v>
      </c>
      <c r="L86" s="7" t="n">
        <v>45859</v>
      </c>
      <c r="M86" s="6" t="n">
        <f aca="false">IF(AND(K86&lt;&gt;"",L86&lt;&gt;""),L86-K86,"")</f>
        <v>22</v>
      </c>
      <c r="N86" s="7" t="n">
        <v>45844</v>
      </c>
      <c r="O86" s="6" t="str">
        <f aca="false">IF(F86="Serious",15,"N/A")</f>
        <v>N/A</v>
      </c>
      <c r="P86" s="6" t="n">
        <f aca="false">N86-B86</f>
        <v>16</v>
      </c>
      <c r="Q86" s="6" t="str">
        <f aca="false">IF(F86="Serious",IF(P86&lt;=O86,"Yes","No"),"N/A")</f>
        <v>N/A</v>
      </c>
      <c r="R86" s="6" t="str">
        <f aca="false">IF(AND(I86="Yes",L86=""),Dashboard!$B$2-K86,"")</f>
        <v/>
      </c>
    </row>
    <row r="87" customFormat="false" ht="15" hidden="false" customHeight="false" outlineLevel="0" collapsed="false">
      <c r="A87" s="6" t="s">
        <v>178</v>
      </c>
      <c r="B87" s="7" t="n">
        <v>45832</v>
      </c>
      <c r="C87" s="6" t="s">
        <v>56</v>
      </c>
      <c r="D87" s="6" t="s">
        <v>45</v>
      </c>
      <c r="E87" s="6" t="s">
        <v>91</v>
      </c>
      <c r="F87" s="6" t="s">
        <v>52</v>
      </c>
      <c r="G87" s="6" t="s">
        <v>47</v>
      </c>
      <c r="H87" s="6" t="s">
        <v>60</v>
      </c>
      <c r="I87" s="6" t="s">
        <v>43</v>
      </c>
      <c r="J87" s="6"/>
      <c r="K87" s="6"/>
      <c r="L87" s="6"/>
      <c r="M87" s="6" t="str">
        <f aca="false">IF(AND(K87&lt;&gt;"",L87&lt;&gt;""),L87-K87,"")</f>
        <v/>
      </c>
      <c r="N87" s="7" t="n">
        <v>45846</v>
      </c>
      <c r="O87" s="6" t="str">
        <f aca="false">IF(F87="Serious",15,"N/A")</f>
        <v>N/A</v>
      </c>
      <c r="P87" s="6" t="n">
        <f aca="false">N87-B87</f>
        <v>14</v>
      </c>
      <c r="Q87" s="6" t="str">
        <f aca="false">IF(F87="Serious",IF(P87&lt;=O87,"Yes","No"),"N/A")</f>
        <v>N/A</v>
      </c>
      <c r="R87" s="6" t="str">
        <f aca="false">IF(AND(I87="Yes",L87=""),Dashboard!$B$2-K87,"")</f>
        <v/>
      </c>
    </row>
    <row r="88" customFormat="false" ht="15" hidden="false" customHeight="false" outlineLevel="0" collapsed="false">
      <c r="A88" s="6" t="s">
        <v>179</v>
      </c>
      <c r="B88" s="7" t="n">
        <v>45895</v>
      </c>
      <c r="C88" s="6" t="s">
        <v>49</v>
      </c>
      <c r="D88" s="6" t="s">
        <v>38</v>
      </c>
      <c r="E88" s="6" t="s">
        <v>65</v>
      </c>
      <c r="F88" s="6" t="s">
        <v>52</v>
      </c>
      <c r="G88" s="6" t="s">
        <v>53</v>
      </c>
      <c r="H88" s="6" t="s">
        <v>54</v>
      </c>
      <c r="I88" s="6" t="s">
        <v>43</v>
      </c>
      <c r="J88" s="6"/>
      <c r="K88" s="6"/>
      <c r="L88" s="6"/>
      <c r="M88" s="6" t="str">
        <f aca="false">IF(AND(K88&lt;&gt;"",L88&lt;&gt;""),L88-K88,"")</f>
        <v/>
      </c>
      <c r="N88" s="7" t="n">
        <v>45943</v>
      </c>
      <c r="O88" s="6" t="str">
        <f aca="false">IF(F88="Serious",15,"N/A")</f>
        <v>N/A</v>
      </c>
      <c r="P88" s="6" t="n">
        <f aca="false">N88-B88</f>
        <v>48</v>
      </c>
      <c r="Q88" s="6" t="str">
        <f aca="false">IF(F88="Serious",IF(P88&lt;=O88,"Yes","No"),"N/A")</f>
        <v>N/A</v>
      </c>
      <c r="R88" s="6" t="str">
        <f aca="false">IF(AND(I88="Yes",L88=""),Dashboard!$B$2-K88,"")</f>
        <v/>
      </c>
    </row>
    <row r="89" customFormat="false" ht="15" hidden="false" customHeight="false" outlineLevel="0" collapsed="false">
      <c r="A89" s="6" t="s">
        <v>180</v>
      </c>
      <c r="B89" s="7" t="n">
        <v>45819</v>
      </c>
      <c r="C89" s="6" t="s">
        <v>37</v>
      </c>
      <c r="D89" s="6" t="s">
        <v>69</v>
      </c>
      <c r="E89" s="6" t="s">
        <v>70</v>
      </c>
      <c r="F89" s="6" t="s">
        <v>52</v>
      </c>
      <c r="G89" s="6" t="s">
        <v>53</v>
      </c>
      <c r="H89" s="6" t="s">
        <v>129</v>
      </c>
      <c r="I89" s="6" t="s">
        <v>43</v>
      </c>
      <c r="J89" s="6"/>
      <c r="K89" s="6"/>
      <c r="L89" s="6"/>
      <c r="M89" s="6" t="str">
        <f aca="false">IF(AND(K89&lt;&gt;"",L89&lt;&gt;""),L89-K89,"")</f>
        <v/>
      </c>
      <c r="N89" s="7" t="n">
        <v>45853</v>
      </c>
      <c r="O89" s="6" t="str">
        <f aca="false">IF(F89="Serious",15,"N/A")</f>
        <v>N/A</v>
      </c>
      <c r="P89" s="6" t="n">
        <f aca="false">N89-B89</f>
        <v>34</v>
      </c>
      <c r="Q89" s="6" t="str">
        <f aca="false">IF(F89="Serious",IF(P89&lt;=O89,"Yes","No"),"N/A")</f>
        <v>N/A</v>
      </c>
      <c r="R89" s="6" t="str">
        <f aca="false">IF(AND(I89="Yes",L89=""),Dashboard!$B$2-K89,"")</f>
        <v/>
      </c>
    </row>
    <row r="90" customFormat="false" ht="15" hidden="false" customHeight="false" outlineLevel="0" collapsed="false">
      <c r="A90" s="6" t="s">
        <v>181</v>
      </c>
      <c r="B90" s="7" t="n">
        <v>45967</v>
      </c>
      <c r="C90" s="6" t="s">
        <v>56</v>
      </c>
      <c r="D90" s="6" t="s">
        <v>101</v>
      </c>
      <c r="E90" s="6" t="s">
        <v>102</v>
      </c>
      <c r="F90" s="6" t="s">
        <v>40</v>
      </c>
      <c r="G90" s="6" t="s">
        <v>59</v>
      </c>
      <c r="H90" s="6" t="s">
        <v>60</v>
      </c>
      <c r="I90" s="6" t="s">
        <v>61</v>
      </c>
      <c r="J90" s="6" t="s">
        <v>126</v>
      </c>
      <c r="K90" s="7" t="n">
        <v>45972</v>
      </c>
      <c r="L90" s="7" t="n">
        <v>46000</v>
      </c>
      <c r="M90" s="6" t="n">
        <f aca="false">IF(AND(K90&lt;&gt;"",L90&lt;&gt;""),L90-K90,"")</f>
        <v>28</v>
      </c>
      <c r="N90" s="7" t="n">
        <v>45969</v>
      </c>
      <c r="O90" s="6" t="n">
        <f aca="false">IF(F90="Serious",15,"N/A")</f>
        <v>15</v>
      </c>
      <c r="P90" s="6" t="n">
        <f aca="false">N90-B90</f>
        <v>2</v>
      </c>
      <c r="Q90" s="6" t="str">
        <f aca="false">IF(F90="Serious",IF(P90&lt;=O90,"Yes","No"),"N/A")</f>
        <v>Yes</v>
      </c>
      <c r="R90" s="6" t="str">
        <f aca="false">IF(AND(I90="Yes",L90=""),Dashboard!$B$2-K90,"")</f>
        <v/>
      </c>
    </row>
    <row r="91" customFormat="false" ht="15" hidden="false" customHeight="false" outlineLevel="0" collapsed="false">
      <c r="A91" s="6" t="s">
        <v>182</v>
      </c>
      <c r="B91" s="7" t="n">
        <v>45708</v>
      </c>
      <c r="C91" s="6" t="s">
        <v>64</v>
      </c>
      <c r="D91" s="6" t="s">
        <v>69</v>
      </c>
      <c r="E91" s="6" t="s">
        <v>70</v>
      </c>
      <c r="F91" s="6" t="s">
        <v>52</v>
      </c>
      <c r="G91" s="6" t="s">
        <v>53</v>
      </c>
      <c r="H91" s="6" t="s">
        <v>54</v>
      </c>
      <c r="I91" s="6" t="s">
        <v>61</v>
      </c>
      <c r="J91" s="6" t="s">
        <v>98</v>
      </c>
      <c r="K91" s="7" t="n">
        <v>45718</v>
      </c>
      <c r="L91" s="7" t="n">
        <v>45743</v>
      </c>
      <c r="M91" s="6" t="n">
        <f aca="false">IF(AND(K91&lt;&gt;"",L91&lt;&gt;""),L91-K91,"")</f>
        <v>25</v>
      </c>
      <c r="N91" s="7" t="n">
        <v>45762</v>
      </c>
      <c r="O91" s="6" t="str">
        <f aca="false">IF(F91="Serious",15,"N/A")</f>
        <v>N/A</v>
      </c>
      <c r="P91" s="6" t="n">
        <f aca="false">N91-B91</f>
        <v>54</v>
      </c>
      <c r="Q91" s="6" t="str">
        <f aca="false">IF(F91="Serious",IF(P91&lt;=O91,"Yes","No"),"N/A")</f>
        <v>N/A</v>
      </c>
      <c r="R91" s="6" t="str">
        <f aca="false">IF(AND(I91="Yes",L91=""),Dashboard!$B$2-K91,"")</f>
        <v/>
      </c>
    </row>
    <row r="92" customFormat="false" ht="15" hidden="false" customHeight="false" outlineLevel="0" collapsed="false">
      <c r="A92" s="6" t="s">
        <v>183</v>
      </c>
      <c r="B92" s="7" t="n">
        <v>45798</v>
      </c>
      <c r="C92" s="6" t="s">
        <v>37</v>
      </c>
      <c r="D92" s="6" t="s">
        <v>79</v>
      </c>
      <c r="E92" s="6" t="s">
        <v>112</v>
      </c>
      <c r="F92" s="6" t="s">
        <v>52</v>
      </c>
      <c r="G92" s="6" t="s">
        <v>53</v>
      </c>
      <c r="H92" s="6" t="s">
        <v>60</v>
      </c>
      <c r="I92" s="6" t="s">
        <v>61</v>
      </c>
      <c r="J92" s="6" t="s">
        <v>62</v>
      </c>
      <c r="K92" s="7" t="n">
        <v>45804</v>
      </c>
      <c r="L92" s="7" t="n">
        <v>45812</v>
      </c>
      <c r="M92" s="6" t="n">
        <f aca="false">IF(AND(K92&lt;&gt;"",L92&lt;&gt;""),L92-K92,"")</f>
        <v>8</v>
      </c>
      <c r="N92" s="7" t="n">
        <v>45811</v>
      </c>
      <c r="O92" s="6" t="str">
        <f aca="false">IF(F92="Serious",15,"N/A")</f>
        <v>N/A</v>
      </c>
      <c r="P92" s="6" t="n">
        <f aca="false">N92-B92</f>
        <v>13</v>
      </c>
      <c r="Q92" s="6" t="str">
        <f aca="false">IF(F92="Serious",IF(P92&lt;=O92,"Yes","No"),"N/A")</f>
        <v>N/A</v>
      </c>
      <c r="R92" s="6" t="str">
        <f aca="false">IF(AND(I92="Yes",L92=""),Dashboard!$B$2-K92,"")</f>
        <v/>
      </c>
    </row>
    <row r="93" customFormat="false" ht="15" hidden="false" customHeight="false" outlineLevel="0" collapsed="false">
      <c r="A93" s="6" t="s">
        <v>184</v>
      </c>
      <c r="B93" s="7" t="n">
        <v>46032</v>
      </c>
      <c r="C93" s="6" t="s">
        <v>64</v>
      </c>
      <c r="D93" s="6" t="s">
        <v>85</v>
      </c>
      <c r="E93" s="6" t="s">
        <v>109</v>
      </c>
      <c r="F93" s="6" t="s">
        <v>52</v>
      </c>
      <c r="G93" s="6" t="s">
        <v>53</v>
      </c>
      <c r="H93" s="6" t="s">
        <v>54</v>
      </c>
      <c r="I93" s="6" t="s">
        <v>61</v>
      </c>
      <c r="J93" s="6" t="s">
        <v>62</v>
      </c>
      <c r="K93" s="7" t="n">
        <v>46038</v>
      </c>
      <c r="L93" s="6"/>
      <c r="M93" s="6" t="str">
        <f aca="false">IF(AND(K93&lt;&gt;"",L93&lt;&gt;""),L93-K93,"")</f>
        <v/>
      </c>
      <c r="N93" s="7" t="n">
        <v>46066</v>
      </c>
      <c r="O93" s="6" t="str">
        <f aca="false">IF(F93="Serious",15,"N/A")</f>
        <v>N/A</v>
      </c>
      <c r="P93" s="6" t="n">
        <f aca="false">N93-B93</f>
        <v>34</v>
      </c>
      <c r="Q93" s="6" t="str">
        <f aca="false">IF(F93="Serious",IF(P93&lt;=O93,"Yes","No"),"N/A")</f>
        <v>N/A</v>
      </c>
      <c r="R93" s="6" t="n">
        <f aca="false">IF(AND(I93="Yes",L93=""),Dashboard!$B$2-K93,"")</f>
        <v>176</v>
      </c>
    </row>
    <row r="94" customFormat="false" ht="15" hidden="false" customHeight="false" outlineLevel="0" collapsed="false">
      <c r="A94" s="6" t="s">
        <v>185</v>
      </c>
      <c r="B94" s="7" t="n">
        <v>45735</v>
      </c>
      <c r="C94" s="6" t="s">
        <v>56</v>
      </c>
      <c r="D94" s="6" t="s">
        <v>57</v>
      </c>
      <c r="E94" s="6" t="s">
        <v>58</v>
      </c>
      <c r="F94" s="6" t="s">
        <v>52</v>
      </c>
      <c r="G94" s="6" t="s">
        <v>88</v>
      </c>
      <c r="H94" s="6" t="s">
        <v>60</v>
      </c>
      <c r="I94" s="6" t="s">
        <v>43</v>
      </c>
      <c r="J94" s="6"/>
      <c r="K94" s="6"/>
      <c r="L94" s="6"/>
      <c r="M94" s="6" t="str">
        <f aca="false">IF(AND(K94&lt;&gt;"",L94&lt;&gt;""),L94-K94,"")</f>
        <v/>
      </c>
      <c r="N94" s="7" t="n">
        <v>45740</v>
      </c>
      <c r="O94" s="6" t="str">
        <f aca="false">IF(F94="Serious",15,"N/A")</f>
        <v>N/A</v>
      </c>
      <c r="P94" s="6" t="n">
        <f aca="false">N94-B94</f>
        <v>5</v>
      </c>
      <c r="Q94" s="6" t="str">
        <f aca="false">IF(F94="Serious",IF(P94&lt;=O94,"Yes","No"),"N/A")</f>
        <v>N/A</v>
      </c>
      <c r="R94" s="6" t="str">
        <f aca="false">IF(AND(I94="Yes",L94=""),Dashboard!$B$2-K94,"")</f>
        <v/>
      </c>
    </row>
    <row r="95" customFormat="false" ht="15" hidden="false" customHeight="false" outlineLevel="0" collapsed="false">
      <c r="A95" s="6" t="s">
        <v>186</v>
      </c>
      <c r="B95" s="7" t="n">
        <v>45928</v>
      </c>
      <c r="C95" s="6" t="s">
        <v>64</v>
      </c>
      <c r="D95" s="6" t="s">
        <v>45</v>
      </c>
      <c r="E95" s="6" t="s">
        <v>167</v>
      </c>
      <c r="F95" s="6" t="s">
        <v>52</v>
      </c>
      <c r="G95" s="6" t="s">
        <v>41</v>
      </c>
      <c r="H95" s="6" t="s">
        <v>60</v>
      </c>
      <c r="I95" s="6" t="s">
        <v>61</v>
      </c>
      <c r="J95" s="6" t="s">
        <v>126</v>
      </c>
      <c r="K95" s="7" t="n">
        <v>45934</v>
      </c>
      <c r="L95" s="7" t="n">
        <v>45943</v>
      </c>
      <c r="M95" s="6" t="n">
        <f aca="false">IF(AND(K95&lt;&gt;"",L95&lt;&gt;""),L95-K95,"")</f>
        <v>9</v>
      </c>
      <c r="N95" s="7" t="n">
        <v>45934</v>
      </c>
      <c r="O95" s="6" t="str">
        <f aca="false">IF(F95="Serious",15,"N/A")</f>
        <v>N/A</v>
      </c>
      <c r="P95" s="6" t="n">
        <f aca="false">N95-B95</f>
        <v>6</v>
      </c>
      <c r="Q95" s="6" t="str">
        <f aca="false">IF(F95="Serious",IF(P95&lt;=O95,"Yes","No"),"N/A")</f>
        <v>N/A</v>
      </c>
      <c r="R95" s="6" t="str">
        <f aca="false">IF(AND(I95="Yes",L95=""),Dashboard!$B$2-K95,"")</f>
        <v/>
      </c>
    </row>
    <row r="96" customFormat="false" ht="15" hidden="false" customHeight="false" outlineLevel="0" collapsed="false">
      <c r="A96" s="6" t="s">
        <v>187</v>
      </c>
      <c r="B96" s="7" t="n">
        <v>45993</v>
      </c>
      <c r="C96" s="6" t="s">
        <v>64</v>
      </c>
      <c r="D96" s="6" t="s">
        <v>57</v>
      </c>
      <c r="E96" s="6" t="s">
        <v>94</v>
      </c>
      <c r="F96" s="6" t="s">
        <v>52</v>
      </c>
      <c r="G96" s="6" t="s">
        <v>59</v>
      </c>
      <c r="H96" s="6" t="s">
        <v>42</v>
      </c>
      <c r="I96" s="6" t="s">
        <v>43</v>
      </c>
      <c r="J96" s="6"/>
      <c r="K96" s="6"/>
      <c r="L96" s="6"/>
      <c r="M96" s="6" t="str">
        <f aca="false">IF(AND(K96&lt;&gt;"",L96&lt;&gt;""),L96-K96,"")</f>
        <v/>
      </c>
      <c r="N96" s="7" t="n">
        <v>46005</v>
      </c>
      <c r="O96" s="6" t="str">
        <f aca="false">IF(F96="Serious",15,"N/A")</f>
        <v>N/A</v>
      </c>
      <c r="P96" s="6" t="n">
        <f aca="false">N96-B96</f>
        <v>12</v>
      </c>
      <c r="Q96" s="6" t="str">
        <f aca="false">IF(F96="Serious",IF(P96&lt;=O96,"Yes","No"),"N/A")</f>
        <v>N/A</v>
      </c>
      <c r="R96" s="6" t="str">
        <f aca="false">IF(AND(I96="Yes",L96=""),Dashboard!$B$2-K96,"")</f>
        <v/>
      </c>
    </row>
    <row r="97" customFormat="false" ht="15" hidden="false" customHeight="false" outlineLevel="0" collapsed="false">
      <c r="A97" s="6" t="s">
        <v>188</v>
      </c>
      <c r="B97" s="7" t="n">
        <v>45801</v>
      </c>
      <c r="C97" s="6" t="s">
        <v>37</v>
      </c>
      <c r="D97" s="6" t="s">
        <v>79</v>
      </c>
      <c r="E97" s="6" t="s">
        <v>112</v>
      </c>
      <c r="F97" s="6" t="s">
        <v>52</v>
      </c>
      <c r="G97" s="6" t="s">
        <v>53</v>
      </c>
      <c r="H97" s="6" t="s">
        <v>60</v>
      </c>
      <c r="I97" s="6" t="s">
        <v>61</v>
      </c>
      <c r="J97" s="6" t="s">
        <v>74</v>
      </c>
      <c r="K97" s="7" t="n">
        <v>45809</v>
      </c>
      <c r="L97" s="7" t="n">
        <v>45844</v>
      </c>
      <c r="M97" s="6" t="n">
        <f aca="false">IF(AND(K97&lt;&gt;"",L97&lt;&gt;""),L97-K97,"")</f>
        <v>35</v>
      </c>
      <c r="N97" s="7" t="n">
        <v>45850</v>
      </c>
      <c r="O97" s="6" t="str">
        <f aca="false">IF(F97="Serious",15,"N/A")</f>
        <v>N/A</v>
      </c>
      <c r="P97" s="6" t="n">
        <f aca="false">N97-B97</f>
        <v>49</v>
      </c>
      <c r="Q97" s="6" t="str">
        <f aca="false">IF(F97="Serious",IF(P97&lt;=O97,"Yes","No"),"N/A")</f>
        <v>N/A</v>
      </c>
      <c r="R97" s="6" t="str">
        <f aca="false">IF(AND(I97="Yes",L97=""),Dashboard!$B$2-K97,"")</f>
        <v/>
      </c>
    </row>
    <row r="98" customFormat="false" ht="15" hidden="false" customHeight="false" outlineLevel="0" collapsed="false">
      <c r="A98" s="6" t="s">
        <v>189</v>
      </c>
      <c r="B98" s="7" t="n">
        <v>46087</v>
      </c>
      <c r="C98" s="6" t="s">
        <v>64</v>
      </c>
      <c r="D98" s="6" t="s">
        <v>82</v>
      </c>
      <c r="E98" s="6" t="s">
        <v>83</v>
      </c>
      <c r="F98" s="6" t="s">
        <v>52</v>
      </c>
      <c r="G98" s="6" t="s">
        <v>88</v>
      </c>
      <c r="H98" s="6" t="s">
        <v>42</v>
      </c>
      <c r="I98" s="6" t="s">
        <v>43</v>
      </c>
      <c r="J98" s="6"/>
      <c r="K98" s="6"/>
      <c r="L98" s="6"/>
      <c r="M98" s="6" t="str">
        <f aca="false">IF(AND(K98&lt;&gt;"",L98&lt;&gt;""),L98-K98,"")</f>
        <v/>
      </c>
      <c r="N98" s="7" t="n">
        <v>46109</v>
      </c>
      <c r="O98" s="6" t="str">
        <f aca="false">IF(F98="Serious",15,"N/A")</f>
        <v>N/A</v>
      </c>
      <c r="P98" s="6" t="n">
        <f aca="false">N98-B98</f>
        <v>22</v>
      </c>
      <c r="Q98" s="6" t="str">
        <f aca="false">IF(F98="Serious",IF(P98&lt;=O98,"Yes","No"),"N/A")</f>
        <v>N/A</v>
      </c>
      <c r="R98" s="6" t="str">
        <f aca="false">IF(AND(I98="Yes",L98=""),Dashboard!$B$2-K98,"")</f>
        <v/>
      </c>
    </row>
    <row r="99" customFormat="false" ht="15" hidden="false" customHeight="false" outlineLevel="0" collapsed="false">
      <c r="A99" s="6" t="s">
        <v>190</v>
      </c>
      <c r="B99" s="7" t="n">
        <v>45691</v>
      </c>
      <c r="C99" s="6" t="s">
        <v>73</v>
      </c>
      <c r="D99" s="6" t="s">
        <v>57</v>
      </c>
      <c r="E99" s="6" t="s">
        <v>58</v>
      </c>
      <c r="F99" s="6" t="s">
        <v>52</v>
      </c>
      <c r="G99" s="6" t="s">
        <v>53</v>
      </c>
      <c r="H99" s="6" t="s">
        <v>60</v>
      </c>
      <c r="I99" s="6" t="s">
        <v>43</v>
      </c>
      <c r="J99" s="6"/>
      <c r="K99" s="6"/>
      <c r="L99" s="6"/>
      <c r="M99" s="6" t="str">
        <f aca="false">IF(AND(K99&lt;&gt;"",L99&lt;&gt;""),L99-K99,"")</f>
        <v/>
      </c>
      <c r="N99" s="7" t="n">
        <v>45719</v>
      </c>
      <c r="O99" s="6" t="str">
        <f aca="false">IF(F99="Serious",15,"N/A")</f>
        <v>N/A</v>
      </c>
      <c r="P99" s="6" t="n">
        <f aca="false">N99-B99</f>
        <v>28</v>
      </c>
      <c r="Q99" s="6" t="str">
        <f aca="false">IF(F99="Serious",IF(P99&lt;=O99,"Yes","No"),"N/A")</f>
        <v>N/A</v>
      </c>
      <c r="R99" s="6" t="str">
        <f aca="false">IF(AND(I99="Yes",L99=""),Dashboard!$B$2-K99,"")</f>
        <v/>
      </c>
    </row>
    <row r="100" customFormat="false" ht="15" hidden="false" customHeight="false" outlineLevel="0" collapsed="false">
      <c r="A100" s="6" t="s">
        <v>191</v>
      </c>
      <c r="B100" s="7" t="n">
        <v>46025</v>
      </c>
      <c r="C100" s="6" t="s">
        <v>37</v>
      </c>
      <c r="D100" s="6" t="s">
        <v>101</v>
      </c>
      <c r="E100" s="6" t="s">
        <v>102</v>
      </c>
      <c r="F100" s="6" t="s">
        <v>40</v>
      </c>
      <c r="G100" s="6" t="s">
        <v>53</v>
      </c>
      <c r="H100" s="6" t="s">
        <v>54</v>
      </c>
      <c r="I100" s="6" t="s">
        <v>61</v>
      </c>
      <c r="J100" s="6" t="s">
        <v>126</v>
      </c>
      <c r="K100" s="7" t="n">
        <v>46029</v>
      </c>
      <c r="L100" s="7" t="n">
        <v>46048</v>
      </c>
      <c r="M100" s="6" t="n">
        <f aca="false">IF(AND(K100&lt;&gt;"",L100&lt;&gt;""),L100-K100,"")</f>
        <v>19</v>
      </c>
      <c r="N100" s="7" t="n">
        <v>46039</v>
      </c>
      <c r="O100" s="6" t="n">
        <f aca="false">IF(F100="Serious",15,"N/A")</f>
        <v>15</v>
      </c>
      <c r="P100" s="6" t="n">
        <f aca="false">N100-B100</f>
        <v>14</v>
      </c>
      <c r="Q100" s="6" t="str">
        <f aca="false">IF(F100="Serious",IF(P100&lt;=O100,"Yes","No"),"N/A")</f>
        <v>Yes</v>
      </c>
      <c r="R100" s="6" t="str">
        <f aca="false">IF(AND(I100="Yes",L100=""),Dashboard!$B$2-K100,"")</f>
        <v/>
      </c>
    </row>
    <row r="101" customFormat="false" ht="15" hidden="false" customHeight="false" outlineLevel="0" collapsed="false">
      <c r="A101" s="6" t="s">
        <v>192</v>
      </c>
      <c r="B101" s="7" t="n">
        <v>45999</v>
      </c>
      <c r="C101" s="6" t="s">
        <v>56</v>
      </c>
      <c r="D101" s="6" t="s">
        <v>82</v>
      </c>
      <c r="E101" s="6" t="s">
        <v>193</v>
      </c>
      <c r="F101" s="6" t="s">
        <v>40</v>
      </c>
      <c r="G101" s="6" t="s">
        <v>88</v>
      </c>
      <c r="H101" s="6" t="s">
        <v>42</v>
      </c>
      <c r="I101" s="6" t="s">
        <v>61</v>
      </c>
      <c r="J101" s="6" t="s">
        <v>98</v>
      </c>
      <c r="K101" s="7" t="n">
        <v>46005</v>
      </c>
      <c r="L101" s="6"/>
      <c r="M101" s="6" t="str">
        <f aca="false">IF(AND(K101&lt;&gt;"",L101&lt;&gt;""),L101-K101,"")</f>
        <v/>
      </c>
      <c r="N101" s="7" t="n">
        <v>46010</v>
      </c>
      <c r="O101" s="6" t="n">
        <f aca="false">IF(F101="Serious",15,"N/A")</f>
        <v>15</v>
      </c>
      <c r="P101" s="6" t="n">
        <f aca="false">N101-B101</f>
        <v>11</v>
      </c>
      <c r="Q101" s="6" t="str">
        <f aca="false">IF(F101="Serious",IF(P101&lt;=O101,"Yes","No"),"N/A")</f>
        <v>Yes</v>
      </c>
      <c r="R101" s="6" t="n">
        <f aca="false">IF(AND(I101="Yes",L101=""),Dashboard!$B$2-K101,"")</f>
        <v>209</v>
      </c>
    </row>
    <row r="102" customFormat="false" ht="15" hidden="false" customHeight="false" outlineLevel="0" collapsed="false">
      <c r="A102" s="6" t="s">
        <v>194</v>
      </c>
      <c r="B102" s="7" t="n">
        <v>45660</v>
      </c>
      <c r="C102" s="6" t="s">
        <v>73</v>
      </c>
      <c r="D102" s="6" t="s">
        <v>82</v>
      </c>
      <c r="E102" s="6" t="s">
        <v>116</v>
      </c>
      <c r="F102" s="6" t="s">
        <v>52</v>
      </c>
      <c r="G102" s="6" t="s">
        <v>41</v>
      </c>
      <c r="H102" s="6" t="s">
        <v>60</v>
      </c>
      <c r="I102" s="6" t="s">
        <v>43</v>
      </c>
      <c r="J102" s="6"/>
      <c r="K102" s="6"/>
      <c r="L102" s="6"/>
      <c r="M102" s="6" t="str">
        <f aca="false">IF(AND(K102&lt;&gt;"",L102&lt;&gt;""),L102-K102,"")</f>
        <v/>
      </c>
      <c r="N102" s="7" t="n">
        <v>45673</v>
      </c>
      <c r="O102" s="6" t="str">
        <f aca="false">IF(F102="Serious",15,"N/A")</f>
        <v>N/A</v>
      </c>
      <c r="P102" s="6" t="n">
        <f aca="false">N102-B102</f>
        <v>13</v>
      </c>
      <c r="Q102" s="6" t="str">
        <f aca="false">IF(F102="Serious",IF(P102&lt;=O102,"Yes","No"),"N/A")</f>
        <v>N/A</v>
      </c>
      <c r="R102" s="6" t="str">
        <f aca="false">IF(AND(I102="Yes",L102=""),Dashboard!$B$2-K102,"")</f>
        <v/>
      </c>
    </row>
    <row r="103" customFormat="false" ht="15" hidden="false" customHeight="false" outlineLevel="0" collapsed="false">
      <c r="A103" s="6" t="s">
        <v>195</v>
      </c>
      <c r="B103" s="7" t="n">
        <v>45673</v>
      </c>
      <c r="C103" s="6" t="s">
        <v>73</v>
      </c>
      <c r="D103" s="6" t="s">
        <v>57</v>
      </c>
      <c r="E103" s="6" t="s">
        <v>58</v>
      </c>
      <c r="F103" s="6" t="s">
        <v>40</v>
      </c>
      <c r="G103" s="6" t="s">
        <v>53</v>
      </c>
      <c r="H103" s="6" t="s">
        <v>60</v>
      </c>
      <c r="I103" s="6" t="s">
        <v>61</v>
      </c>
      <c r="J103" s="6" t="s">
        <v>89</v>
      </c>
      <c r="K103" s="7" t="n">
        <v>45675</v>
      </c>
      <c r="L103" s="7" t="n">
        <v>45700</v>
      </c>
      <c r="M103" s="6" t="n">
        <f aca="false">IF(AND(K103&lt;&gt;"",L103&lt;&gt;""),L103-K103,"")</f>
        <v>25</v>
      </c>
      <c r="N103" s="7" t="n">
        <v>45676</v>
      </c>
      <c r="O103" s="6" t="n">
        <f aca="false">IF(F103="Serious",15,"N/A")</f>
        <v>15</v>
      </c>
      <c r="P103" s="6" t="n">
        <f aca="false">N103-B103</f>
        <v>3</v>
      </c>
      <c r="Q103" s="6" t="str">
        <f aca="false">IF(F103="Serious",IF(P103&lt;=O103,"Yes","No"),"N/A")</f>
        <v>Yes</v>
      </c>
      <c r="R103" s="6" t="str">
        <f aca="false">IF(AND(I103="Yes",L103=""),Dashboard!$B$2-K103,"")</f>
        <v/>
      </c>
    </row>
    <row r="104" customFormat="false" ht="15" hidden="false" customHeight="false" outlineLevel="0" collapsed="false">
      <c r="A104" s="6" t="s">
        <v>196</v>
      </c>
      <c r="B104" s="7" t="n">
        <v>46120</v>
      </c>
      <c r="C104" s="6" t="s">
        <v>64</v>
      </c>
      <c r="D104" s="6" t="s">
        <v>57</v>
      </c>
      <c r="E104" s="6" t="s">
        <v>94</v>
      </c>
      <c r="F104" s="6" t="s">
        <v>52</v>
      </c>
      <c r="G104" s="6" t="s">
        <v>71</v>
      </c>
      <c r="H104" s="6" t="s">
        <v>42</v>
      </c>
      <c r="I104" s="6" t="s">
        <v>61</v>
      </c>
      <c r="J104" s="6" t="s">
        <v>126</v>
      </c>
      <c r="K104" s="7" t="n">
        <v>46121</v>
      </c>
      <c r="L104" s="7" t="n">
        <v>46136</v>
      </c>
      <c r="M104" s="6" t="n">
        <f aca="false">IF(AND(K104&lt;&gt;"",L104&lt;&gt;""),L104-K104,"")</f>
        <v>15</v>
      </c>
      <c r="N104" s="7" t="n">
        <v>46150</v>
      </c>
      <c r="O104" s="6" t="str">
        <f aca="false">IF(F104="Serious",15,"N/A")</f>
        <v>N/A</v>
      </c>
      <c r="P104" s="6" t="n">
        <f aca="false">N104-B104</f>
        <v>30</v>
      </c>
      <c r="Q104" s="6" t="str">
        <f aca="false">IF(F104="Serious",IF(P104&lt;=O104,"Yes","No"),"N/A")</f>
        <v>N/A</v>
      </c>
      <c r="R104" s="6" t="str">
        <f aca="false">IF(AND(I104="Yes",L104=""),Dashboard!$B$2-K104,"")</f>
        <v/>
      </c>
    </row>
    <row r="105" customFormat="false" ht="15" hidden="false" customHeight="false" outlineLevel="0" collapsed="false">
      <c r="A105" s="6" t="s">
        <v>197</v>
      </c>
      <c r="B105" s="7" t="n">
        <v>46094</v>
      </c>
      <c r="C105" s="6" t="s">
        <v>37</v>
      </c>
      <c r="D105" s="6" t="s">
        <v>69</v>
      </c>
      <c r="E105" s="6" t="s">
        <v>70</v>
      </c>
      <c r="F105" s="6" t="s">
        <v>40</v>
      </c>
      <c r="G105" s="6" t="s">
        <v>53</v>
      </c>
      <c r="H105" s="6" t="s">
        <v>42</v>
      </c>
      <c r="I105" s="6" t="s">
        <v>61</v>
      </c>
      <c r="J105" s="6" t="s">
        <v>62</v>
      </c>
      <c r="K105" s="7" t="n">
        <v>46104</v>
      </c>
      <c r="L105" s="7" t="n">
        <v>46121</v>
      </c>
      <c r="M105" s="6" t="n">
        <f aca="false">IF(AND(K105&lt;&gt;"",L105&lt;&gt;""),L105-K105,"")</f>
        <v>17</v>
      </c>
      <c r="N105" s="7" t="n">
        <v>46105</v>
      </c>
      <c r="O105" s="6" t="n">
        <f aca="false">IF(F105="Serious",15,"N/A")</f>
        <v>15</v>
      </c>
      <c r="P105" s="6" t="n">
        <f aca="false">N105-B105</f>
        <v>11</v>
      </c>
      <c r="Q105" s="6" t="str">
        <f aca="false">IF(F105="Serious",IF(P105&lt;=O105,"Yes","No"),"N/A")</f>
        <v>Yes</v>
      </c>
      <c r="R105" s="6" t="str">
        <f aca="false">IF(AND(I105="Yes",L105=""),Dashboard!$B$2-K105,"")</f>
        <v/>
      </c>
    </row>
    <row r="106" customFormat="false" ht="15" hidden="false" customHeight="false" outlineLevel="0" collapsed="false">
      <c r="A106" s="6" t="s">
        <v>198</v>
      </c>
      <c r="B106" s="7" t="n">
        <v>46201</v>
      </c>
      <c r="C106" s="6" t="s">
        <v>73</v>
      </c>
      <c r="D106" s="6" t="s">
        <v>69</v>
      </c>
      <c r="E106" s="6" t="s">
        <v>70</v>
      </c>
      <c r="F106" s="6" t="s">
        <v>40</v>
      </c>
      <c r="G106" s="6" t="s">
        <v>66</v>
      </c>
      <c r="H106" s="6" t="s">
        <v>54</v>
      </c>
      <c r="I106" s="6" t="s">
        <v>43</v>
      </c>
      <c r="J106" s="6"/>
      <c r="K106" s="6"/>
      <c r="L106" s="6"/>
      <c r="M106" s="6" t="str">
        <f aca="false">IF(AND(K106&lt;&gt;"",L106&lt;&gt;""),L106-K106,"")</f>
        <v/>
      </c>
      <c r="N106" s="7" t="n">
        <v>46214</v>
      </c>
      <c r="O106" s="6" t="n">
        <f aca="false">IF(F106="Serious",15,"N/A")</f>
        <v>15</v>
      </c>
      <c r="P106" s="6" t="n">
        <f aca="false">N106-B106</f>
        <v>13</v>
      </c>
      <c r="Q106" s="6" t="str">
        <f aca="false">IF(F106="Serious",IF(P106&lt;=O106,"Yes","No"),"N/A")</f>
        <v>Yes</v>
      </c>
      <c r="R106" s="6" t="str">
        <f aca="false">IF(AND(I106="Yes",L106=""),Dashboard!$B$2-K106,"")</f>
        <v/>
      </c>
    </row>
    <row r="107" customFormat="false" ht="15" hidden="false" customHeight="false" outlineLevel="0" collapsed="false">
      <c r="A107" s="6" t="s">
        <v>199</v>
      </c>
      <c r="B107" s="7" t="n">
        <v>45878</v>
      </c>
      <c r="C107" s="6" t="s">
        <v>49</v>
      </c>
      <c r="D107" s="6" t="s">
        <v>69</v>
      </c>
      <c r="E107" s="6" t="s">
        <v>118</v>
      </c>
      <c r="F107" s="6" t="s">
        <v>52</v>
      </c>
      <c r="G107" s="6" t="s">
        <v>88</v>
      </c>
      <c r="H107" s="6" t="s">
        <v>60</v>
      </c>
      <c r="I107" s="6" t="s">
        <v>43</v>
      </c>
      <c r="J107" s="6"/>
      <c r="K107" s="6"/>
      <c r="L107" s="6"/>
      <c r="M107" s="6" t="str">
        <f aca="false">IF(AND(K107&lt;&gt;"",L107&lt;&gt;""),L107-K107,"")</f>
        <v/>
      </c>
      <c r="N107" s="7" t="n">
        <v>45903</v>
      </c>
      <c r="O107" s="6" t="str">
        <f aca="false">IF(F107="Serious",15,"N/A")</f>
        <v>N/A</v>
      </c>
      <c r="P107" s="6" t="n">
        <f aca="false">N107-B107</f>
        <v>25</v>
      </c>
      <c r="Q107" s="6" t="str">
        <f aca="false">IF(F107="Serious",IF(P107&lt;=O107,"Yes","No"),"N/A")</f>
        <v>N/A</v>
      </c>
      <c r="R107" s="6" t="str">
        <f aca="false">IF(AND(I107="Yes",L107=""),Dashboard!$B$2-K107,"")</f>
        <v/>
      </c>
    </row>
    <row r="108" customFormat="false" ht="15" hidden="false" customHeight="false" outlineLevel="0" collapsed="false">
      <c r="A108" s="6" t="s">
        <v>200</v>
      </c>
      <c r="B108" s="7" t="n">
        <v>46095</v>
      </c>
      <c r="C108" s="6" t="s">
        <v>73</v>
      </c>
      <c r="D108" s="6" t="s">
        <v>38</v>
      </c>
      <c r="E108" s="6" t="s">
        <v>65</v>
      </c>
      <c r="F108" s="6" t="s">
        <v>52</v>
      </c>
      <c r="G108" s="6" t="s">
        <v>66</v>
      </c>
      <c r="H108" s="6" t="s">
        <v>42</v>
      </c>
      <c r="I108" s="6" t="s">
        <v>61</v>
      </c>
      <c r="J108" s="6" t="s">
        <v>89</v>
      </c>
      <c r="K108" s="7" t="n">
        <v>46097</v>
      </c>
      <c r="L108" s="7" t="n">
        <v>46121</v>
      </c>
      <c r="M108" s="6" t="n">
        <f aca="false">IF(AND(K108&lt;&gt;"",L108&lt;&gt;""),L108-K108,"")</f>
        <v>24</v>
      </c>
      <c r="N108" s="7" t="n">
        <v>46123</v>
      </c>
      <c r="O108" s="6" t="str">
        <f aca="false">IF(F108="Serious",15,"N/A")</f>
        <v>N/A</v>
      </c>
      <c r="P108" s="6" t="n">
        <f aca="false">N108-B108</f>
        <v>28</v>
      </c>
      <c r="Q108" s="6" t="str">
        <f aca="false">IF(F108="Serious",IF(P108&lt;=O108,"Yes","No"),"N/A")</f>
        <v>N/A</v>
      </c>
      <c r="R108" s="6" t="str">
        <f aca="false">IF(AND(I108="Yes",L108=""),Dashboard!$B$2-K108,"")</f>
        <v/>
      </c>
    </row>
    <row r="109" customFormat="false" ht="15" hidden="false" customHeight="false" outlineLevel="0" collapsed="false">
      <c r="A109" s="6" t="s">
        <v>201</v>
      </c>
      <c r="B109" s="7" t="n">
        <v>45791</v>
      </c>
      <c r="C109" s="6" t="s">
        <v>64</v>
      </c>
      <c r="D109" s="6" t="s">
        <v>79</v>
      </c>
      <c r="E109" s="6" t="s">
        <v>112</v>
      </c>
      <c r="F109" s="6" t="s">
        <v>52</v>
      </c>
      <c r="G109" s="6" t="s">
        <v>59</v>
      </c>
      <c r="H109" s="6" t="s">
        <v>54</v>
      </c>
      <c r="I109" s="6" t="s">
        <v>43</v>
      </c>
      <c r="J109" s="6"/>
      <c r="K109" s="6"/>
      <c r="L109" s="6"/>
      <c r="M109" s="6" t="str">
        <f aca="false">IF(AND(K109&lt;&gt;"",L109&lt;&gt;""),L109-K109,"")</f>
        <v/>
      </c>
      <c r="N109" s="7" t="n">
        <v>45823</v>
      </c>
      <c r="O109" s="6" t="str">
        <f aca="false">IF(F109="Serious",15,"N/A")</f>
        <v>N/A</v>
      </c>
      <c r="P109" s="6" t="n">
        <f aca="false">N109-B109</f>
        <v>32</v>
      </c>
      <c r="Q109" s="6" t="str">
        <f aca="false">IF(F109="Serious",IF(P109&lt;=O109,"Yes","No"),"N/A")</f>
        <v>N/A</v>
      </c>
      <c r="R109" s="6" t="str">
        <f aca="false">IF(AND(I109="Yes",L109=""),Dashboard!$B$2-K109,"")</f>
        <v/>
      </c>
    </row>
    <row r="110" customFormat="false" ht="15" hidden="false" customHeight="false" outlineLevel="0" collapsed="false">
      <c r="A110" s="6" t="s">
        <v>202</v>
      </c>
      <c r="B110" s="7" t="n">
        <v>45710</v>
      </c>
      <c r="C110" s="6" t="s">
        <v>73</v>
      </c>
      <c r="D110" s="6" t="s">
        <v>50</v>
      </c>
      <c r="E110" s="6" t="s">
        <v>51</v>
      </c>
      <c r="F110" s="6" t="s">
        <v>52</v>
      </c>
      <c r="G110" s="6" t="s">
        <v>47</v>
      </c>
      <c r="H110" s="6" t="s">
        <v>60</v>
      </c>
      <c r="I110" s="6" t="s">
        <v>43</v>
      </c>
      <c r="J110" s="6"/>
      <c r="K110" s="6"/>
      <c r="L110" s="6"/>
      <c r="M110" s="6" t="str">
        <f aca="false">IF(AND(K110&lt;&gt;"",L110&lt;&gt;""),L110-K110,"")</f>
        <v/>
      </c>
      <c r="N110" s="7" t="n">
        <v>45729</v>
      </c>
      <c r="O110" s="6" t="str">
        <f aca="false">IF(F110="Serious",15,"N/A")</f>
        <v>N/A</v>
      </c>
      <c r="P110" s="6" t="n">
        <f aca="false">N110-B110</f>
        <v>19</v>
      </c>
      <c r="Q110" s="6" t="str">
        <f aca="false">IF(F110="Serious",IF(P110&lt;=O110,"Yes","No"),"N/A")</f>
        <v>N/A</v>
      </c>
      <c r="R110" s="6" t="str">
        <f aca="false">IF(AND(I110="Yes",L110=""),Dashboard!$B$2-K110,"")</f>
        <v/>
      </c>
    </row>
    <row r="111" customFormat="false" ht="15" hidden="false" customHeight="false" outlineLevel="0" collapsed="false">
      <c r="A111" s="6" t="s">
        <v>203</v>
      </c>
      <c r="B111" s="7" t="n">
        <v>45768</v>
      </c>
      <c r="C111" s="6" t="s">
        <v>73</v>
      </c>
      <c r="D111" s="6" t="s">
        <v>85</v>
      </c>
      <c r="E111" s="6" t="s">
        <v>109</v>
      </c>
      <c r="F111" s="6" t="s">
        <v>40</v>
      </c>
      <c r="G111" s="6" t="s">
        <v>53</v>
      </c>
      <c r="H111" s="6" t="s">
        <v>60</v>
      </c>
      <c r="I111" s="6" t="s">
        <v>61</v>
      </c>
      <c r="J111" s="6" t="s">
        <v>76</v>
      </c>
      <c r="K111" s="7" t="n">
        <v>45778</v>
      </c>
      <c r="L111" s="7" t="n">
        <v>45798</v>
      </c>
      <c r="M111" s="6" t="n">
        <f aca="false">IF(AND(K111&lt;&gt;"",L111&lt;&gt;""),L111-K111,"")</f>
        <v>20</v>
      </c>
      <c r="N111" s="7" t="n">
        <v>45780</v>
      </c>
      <c r="O111" s="6" t="n">
        <f aca="false">IF(F111="Serious",15,"N/A")</f>
        <v>15</v>
      </c>
      <c r="P111" s="6" t="n">
        <f aca="false">N111-B111</f>
        <v>12</v>
      </c>
      <c r="Q111" s="6" t="str">
        <f aca="false">IF(F111="Serious",IF(P111&lt;=O111,"Yes","No"),"N/A")</f>
        <v>Yes</v>
      </c>
      <c r="R111" s="6" t="str">
        <f aca="false">IF(AND(I111="Yes",L111=""),Dashboard!$B$2-K111,"")</f>
        <v/>
      </c>
    </row>
    <row r="112" customFormat="false" ht="15" hidden="false" customHeight="false" outlineLevel="0" collapsed="false">
      <c r="A112" s="6" t="s">
        <v>204</v>
      </c>
      <c r="B112" s="7" t="n">
        <v>45931</v>
      </c>
      <c r="C112" s="6" t="s">
        <v>37</v>
      </c>
      <c r="D112" s="6" t="s">
        <v>82</v>
      </c>
      <c r="E112" s="6" t="s">
        <v>83</v>
      </c>
      <c r="F112" s="6" t="s">
        <v>52</v>
      </c>
      <c r="G112" s="6" t="s">
        <v>59</v>
      </c>
      <c r="H112" s="6" t="s">
        <v>60</v>
      </c>
      <c r="I112" s="6" t="s">
        <v>61</v>
      </c>
      <c r="J112" s="6" t="s">
        <v>98</v>
      </c>
      <c r="K112" s="7" t="n">
        <v>45941</v>
      </c>
      <c r="L112" s="7" t="n">
        <v>45946</v>
      </c>
      <c r="M112" s="6" t="n">
        <f aca="false">IF(AND(K112&lt;&gt;"",L112&lt;&gt;""),L112-K112,"")</f>
        <v>5</v>
      </c>
      <c r="N112" s="7" t="n">
        <v>45983</v>
      </c>
      <c r="O112" s="6" t="str">
        <f aca="false">IF(F112="Serious",15,"N/A")</f>
        <v>N/A</v>
      </c>
      <c r="P112" s="6" t="n">
        <f aca="false">N112-B112</f>
        <v>52</v>
      </c>
      <c r="Q112" s="6" t="str">
        <f aca="false">IF(F112="Serious",IF(P112&lt;=O112,"Yes","No"),"N/A")</f>
        <v>N/A</v>
      </c>
      <c r="R112" s="6" t="str">
        <f aca="false">IF(AND(I112="Yes",L112=""),Dashboard!$B$2-K112,"")</f>
        <v/>
      </c>
    </row>
    <row r="113" customFormat="false" ht="15" hidden="false" customHeight="false" outlineLevel="0" collapsed="false">
      <c r="A113" s="6" t="s">
        <v>205</v>
      </c>
      <c r="B113" s="7" t="n">
        <v>45689</v>
      </c>
      <c r="C113" s="6" t="s">
        <v>37</v>
      </c>
      <c r="D113" s="6" t="s">
        <v>85</v>
      </c>
      <c r="E113" s="6" t="s">
        <v>86</v>
      </c>
      <c r="F113" s="6" t="s">
        <v>52</v>
      </c>
      <c r="G113" s="6" t="s">
        <v>59</v>
      </c>
      <c r="H113" s="6" t="s">
        <v>60</v>
      </c>
      <c r="I113" s="6" t="s">
        <v>61</v>
      </c>
      <c r="J113" s="6" t="s">
        <v>62</v>
      </c>
      <c r="K113" s="7" t="n">
        <v>45699</v>
      </c>
      <c r="L113" s="7" t="n">
        <v>45730</v>
      </c>
      <c r="M113" s="6" t="n">
        <f aca="false">IF(AND(K113&lt;&gt;"",L113&lt;&gt;""),L113-K113,"")</f>
        <v>31</v>
      </c>
      <c r="N113" s="7" t="n">
        <v>45703</v>
      </c>
      <c r="O113" s="6" t="str">
        <f aca="false">IF(F113="Serious",15,"N/A")</f>
        <v>N/A</v>
      </c>
      <c r="P113" s="6" t="n">
        <f aca="false">N113-B113</f>
        <v>14</v>
      </c>
      <c r="Q113" s="6" t="str">
        <f aca="false">IF(F113="Serious",IF(P113&lt;=O113,"Yes","No"),"N/A")</f>
        <v>N/A</v>
      </c>
      <c r="R113" s="6" t="str">
        <f aca="false">IF(AND(I113="Yes",L113=""),Dashboard!$B$2-K113,"")</f>
        <v/>
      </c>
    </row>
    <row r="114" customFormat="false" ht="15" hidden="false" customHeight="false" outlineLevel="0" collapsed="false">
      <c r="A114" s="6" t="s">
        <v>206</v>
      </c>
      <c r="B114" s="7" t="n">
        <v>45819</v>
      </c>
      <c r="C114" s="6" t="s">
        <v>64</v>
      </c>
      <c r="D114" s="6" t="s">
        <v>79</v>
      </c>
      <c r="E114" s="6" t="s">
        <v>80</v>
      </c>
      <c r="F114" s="6" t="s">
        <v>52</v>
      </c>
      <c r="G114" s="6" t="s">
        <v>66</v>
      </c>
      <c r="H114" s="6" t="s">
        <v>42</v>
      </c>
      <c r="I114" s="6" t="s">
        <v>61</v>
      </c>
      <c r="J114" s="6" t="s">
        <v>62</v>
      </c>
      <c r="K114" s="7" t="n">
        <v>45823</v>
      </c>
      <c r="L114" s="6"/>
      <c r="M114" s="6" t="str">
        <f aca="false">IF(AND(K114&lt;&gt;"",L114&lt;&gt;""),L114-K114,"")</f>
        <v/>
      </c>
      <c r="N114" s="7" t="n">
        <v>45831</v>
      </c>
      <c r="O114" s="6" t="str">
        <f aca="false">IF(F114="Serious",15,"N/A")</f>
        <v>N/A</v>
      </c>
      <c r="P114" s="6" t="n">
        <f aca="false">N114-B114</f>
        <v>12</v>
      </c>
      <c r="Q114" s="6" t="str">
        <f aca="false">IF(F114="Serious",IF(P114&lt;=O114,"Yes","No"),"N/A")</f>
        <v>N/A</v>
      </c>
      <c r="R114" s="6" t="n">
        <f aca="false">IF(AND(I114="Yes",L114=""),Dashboard!$B$2-K114,"")</f>
        <v>391</v>
      </c>
    </row>
    <row r="115" customFormat="false" ht="15" hidden="false" customHeight="false" outlineLevel="0" collapsed="false">
      <c r="A115" s="6" t="s">
        <v>207</v>
      </c>
      <c r="B115" s="7" t="n">
        <v>46011</v>
      </c>
      <c r="C115" s="6" t="s">
        <v>49</v>
      </c>
      <c r="D115" s="6" t="s">
        <v>45</v>
      </c>
      <c r="E115" s="6" t="s">
        <v>167</v>
      </c>
      <c r="F115" s="6" t="s">
        <v>52</v>
      </c>
      <c r="G115" s="6" t="s">
        <v>47</v>
      </c>
      <c r="H115" s="6" t="s">
        <v>42</v>
      </c>
      <c r="I115" s="6" t="s">
        <v>61</v>
      </c>
      <c r="J115" s="6" t="s">
        <v>98</v>
      </c>
      <c r="K115" s="7" t="n">
        <v>46018</v>
      </c>
      <c r="L115" s="6"/>
      <c r="M115" s="6" t="str">
        <f aca="false">IF(AND(K115&lt;&gt;"",L115&lt;&gt;""),L115-K115,"")</f>
        <v/>
      </c>
      <c r="N115" s="7" t="n">
        <v>46019</v>
      </c>
      <c r="O115" s="6" t="str">
        <f aca="false">IF(F115="Serious",15,"N/A")</f>
        <v>N/A</v>
      </c>
      <c r="P115" s="6" t="n">
        <f aca="false">N115-B115</f>
        <v>8</v>
      </c>
      <c r="Q115" s="6" t="str">
        <f aca="false">IF(F115="Serious",IF(P115&lt;=O115,"Yes","No"),"N/A")</f>
        <v>N/A</v>
      </c>
      <c r="R115" s="6" t="n">
        <f aca="false">IF(AND(I115="Yes",L115=""),Dashboard!$B$2-K115,"")</f>
        <v>196</v>
      </c>
    </row>
    <row r="116" customFormat="false" ht="15" hidden="false" customHeight="false" outlineLevel="0" collapsed="false">
      <c r="A116" s="6" t="s">
        <v>208</v>
      </c>
      <c r="B116" s="7" t="n">
        <v>45665</v>
      </c>
      <c r="C116" s="6" t="s">
        <v>56</v>
      </c>
      <c r="D116" s="6" t="s">
        <v>38</v>
      </c>
      <c r="E116" s="6" t="s">
        <v>39</v>
      </c>
      <c r="F116" s="6" t="s">
        <v>52</v>
      </c>
      <c r="G116" s="6" t="s">
        <v>41</v>
      </c>
      <c r="H116" s="6" t="s">
        <v>60</v>
      </c>
      <c r="I116" s="6" t="s">
        <v>61</v>
      </c>
      <c r="J116" s="6" t="s">
        <v>74</v>
      </c>
      <c r="K116" s="7" t="n">
        <v>45672</v>
      </c>
      <c r="L116" s="7" t="n">
        <v>45685</v>
      </c>
      <c r="M116" s="6" t="n">
        <f aca="false">IF(AND(K116&lt;&gt;"",L116&lt;&gt;""),L116-K116,"")</f>
        <v>13</v>
      </c>
      <c r="N116" s="7" t="n">
        <v>45715</v>
      </c>
      <c r="O116" s="6" t="str">
        <f aca="false">IF(F116="Serious",15,"N/A")</f>
        <v>N/A</v>
      </c>
      <c r="P116" s="6" t="n">
        <f aca="false">N116-B116</f>
        <v>50</v>
      </c>
      <c r="Q116" s="6" t="str">
        <f aca="false">IF(F116="Serious",IF(P116&lt;=O116,"Yes","No"),"N/A")</f>
        <v>N/A</v>
      </c>
      <c r="R116" s="6" t="str">
        <f aca="false">IF(AND(I116="Yes",L116=""),Dashboard!$B$2-K116,"")</f>
        <v/>
      </c>
    </row>
    <row r="117" customFormat="false" ht="15" hidden="false" customHeight="false" outlineLevel="0" collapsed="false">
      <c r="A117" s="6" t="s">
        <v>209</v>
      </c>
      <c r="B117" s="7" t="n">
        <v>45893</v>
      </c>
      <c r="C117" s="6" t="s">
        <v>64</v>
      </c>
      <c r="D117" s="6" t="s">
        <v>85</v>
      </c>
      <c r="E117" s="6" t="s">
        <v>109</v>
      </c>
      <c r="F117" s="6" t="s">
        <v>40</v>
      </c>
      <c r="G117" s="6" t="s">
        <v>88</v>
      </c>
      <c r="H117" s="6" t="s">
        <v>60</v>
      </c>
      <c r="I117" s="6" t="s">
        <v>61</v>
      </c>
      <c r="J117" s="6" t="s">
        <v>89</v>
      </c>
      <c r="K117" s="7" t="n">
        <v>45899</v>
      </c>
      <c r="L117" s="7" t="n">
        <v>45917</v>
      </c>
      <c r="M117" s="6" t="n">
        <f aca="false">IF(AND(K117&lt;&gt;"",L117&lt;&gt;""),L117-K117,"")</f>
        <v>18</v>
      </c>
      <c r="N117" s="7" t="n">
        <v>45901</v>
      </c>
      <c r="O117" s="6" t="n">
        <f aca="false">IF(F117="Serious",15,"N/A")</f>
        <v>15</v>
      </c>
      <c r="P117" s="6" t="n">
        <f aca="false">N117-B117</f>
        <v>8</v>
      </c>
      <c r="Q117" s="6" t="str">
        <f aca="false">IF(F117="Serious",IF(P117&lt;=O117,"Yes","No"),"N/A")</f>
        <v>Yes</v>
      </c>
      <c r="R117" s="6" t="str">
        <f aca="false">IF(AND(I117="Yes",L117=""),Dashboard!$B$2-K117,"")</f>
        <v/>
      </c>
    </row>
    <row r="118" customFormat="false" ht="15" hidden="false" customHeight="false" outlineLevel="0" collapsed="false">
      <c r="A118" s="6" t="s">
        <v>210</v>
      </c>
      <c r="B118" s="7" t="n">
        <v>45954</v>
      </c>
      <c r="C118" s="6" t="s">
        <v>37</v>
      </c>
      <c r="D118" s="6" t="s">
        <v>101</v>
      </c>
      <c r="E118" s="6" t="s">
        <v>124</v>
      </c>
      <c r="F118" s="6" t="s">
        <v>52</v>
      </c>
      <c r="G118" s="6" t="s">
        <v>53</v>
      </c>
      <c r="H118" s="6" t="s">
        <v>54</v>
      </c>
      <c r="I118" s="6" t="s">
        <v>61</v>
      </c>
      <c r="J118" s="6" t="s">
        <v>126</v>
      </c>
      <c r="K118" s="7" t="n">
        <v>45960</v>
      </c>
      <c r="L118" s="7" t="n">
        <v>45989</v>
      </c>
      <c r="M118" s="6" t="n">
        <f aca="false">IF(AND(K118&lt;&gt;"",L118&lt;&gt;""),L118-K118,"")</f>
        <v>29</v>
      </c>
      <c r="N118" s="7" t="n">
        <v>45974</v>
      </c>
      <c r="O118" s="6" t="str">
        <f aca="false">IF(F118="Serious",15,"N/A")</f>
        <v>N/A</v>
      </c>
      <c r="P118" s="6" t="n">
        <f aca="false">N118-B118</f>
        <v>20</v>
      </c>
      <c r="Q118" s="6" t="str">
        <f aca="false">IF(F118="Serious",IF(P118&lt;=O118,"Yes","No"),"N/A")</f>
        <v>N/A</v>
      </c>
      <c r="R118" s="6" t="str">
        <f aca="false">IF(AND(I118="Yes",L118=""),Dashboard!$B$2-K118,"")</f>
        <v/>
      </c>
    </row>
    <row r="119" customFormat="false" ht="15" hidden="false" customHeight="false" outlineLevel="0" collapsed="false">
      <c r="A119" s="6" t="s">
        <v>211</v>
      </c>
      <c r="B119" s="7" t="n">
        <v>46104</v>
      </c>
      <c r="C119" s="6" t="s">
        <v>64</v>
      </c>
      <c r="D119" s="6" t="s">
        <v>101</v>
      </c>
      <c r="E119" s="6" t="s">
        <v>132</v>
      </c>
      <c r="F119" s="6" t="s">
        <v>40</v>
      </c>
      <c r="G119" s="6" t="s">
        <v>88</v>
      </c>
      <c r="H119" s="6" t="s">
        <v>42</v>
      </c>
      <c r="I119" s="6" t="s">
        <v>61</v>
      </c>
      <c r="J119" s="6" t="s">
        <v>98</v>
      </c>
      <c r="K119" s="7" t="n">
        <v>46106</v>
      </c>
      <c r="L119" s="7" t="n">
        <v>46112</v>
      </c>
      <c r="M119" s="6" t="n">
        <f aca="false">IF(AND(K119&lt;&gt;"",L119&lt;&gt;""),L119-K119,"")</f>
        <v>6</v>
      </c>
      <c r="N119" s="7" t="n">
        <v>46118</v>
      </c>
      <c r="O119" s="6" t="n">
        <f aca="false">IF(F119="Serious",15,"N/A")</f>
        <v>15</v>
      </c>
      <c r="P119" s="6" t="n">
        <f aca="false">N119-B119</f>
        <v>14</v>
      </c>
      <c r="Q119" s="6" t="str">
        <f aca="false">IF(F119="Serious",IF(P119&lt;=O119,"Yes","No"),"N/A")</f>
        <v>Yes</v>
      </c>
      <c r="R119" s="6" t="str">
        <f aca="false">IF(AND(I119="Yes",L119=""),Dashboard!$B$2-K119,"")</f>
        <v/>
      </c>
    </row>
    <row r="120" customFormat="false" ht="15" hidden="false" customHeight="false" outlineLevel="0" collapsed="false">
      <c r="A120" s="6" t="s">
        <v>212</v>
      </c>
      <c r="B120" s="7" t="n">
        <v>46015</v>
      </c>
      <c r="C120" s="6" t="s">
        <v>73</v>
      </c>
      <c r="D120" s="6" t="s">
        <v>82</v>
      </c>
      <c r="E120" s="6" t="s">
        <v>116</v>
      </c>
      <c r="F120" s="6" t="s">
        <v>40</v>
      </c>
      <c r="G120" s="6" t="s">
        <v>53</v>
      </c>
      <c r="H120" s="6" t="s">
        <v>60</v>
      </c>
      <c r="I120" s="6" t="s">
        <v>61</v>
      </c>
      <c r="J120" s="6" t="s">
        <v>126</v>
      </c>
      <c r="K120" s="7" t="n">
        <v>46017</v>
      </c>
      <c r="L120" s="7" t="n">
        <v>46042</v>
      </c>
      <c r="M120" s="6" t="n">
        <f aca="false">IF(AND(K120&lt;&gt;"",L120&lt;&gt;""),L120-K120,"")</f>
        <v>25</v>
      </c>
      <c r="N120" s="7" t="n">
        <v>46029</v>
      </c>
      <c r="O120" s="6" t="n">
        <f aca="false">IF(F120="Serious",15,"N/A")</f>
        <v>15</v>
      </c>
      <c r="P120" s="6" t="n">
        <f aca="false">N120-B120</f>
        <v>14</v>
      </c>
      <c r="Q120" s="6" t="str">
        <f aca="false">IF(F120="Serious",IF(P120&lt;=O120,"Yes","No"),"N/A")</f>
        <v>Yes</v>
      </c>
      <c r="R120" s="6" t="str">
        <f aca="false">IF(AND(I120="Yes",L120=""),Dashboard!$B$2-K120,"")</f>
        <v/>
      </c>
    </row>
    <row r="121" customFormat="false" ht="15" hidden="false" customHeight="false" outlineLevel="0" collapsed="false">
      <c r="A121" s="6" t="s">
        <v>213</v>
      </c>
      <c r="B121" s="7" t="n">
        <v>46117</v>
      </c>
      <c r="C121" s="6" t="s">
        <v>64</v>
      </c>
      <c r="D121" s="6" t="s">
        <v>50</v>
      </c>
      <c r="E121" s="6" t="s">
        <v>51</v>
      </c>
      <c r="F121" s="6" t="s">
        <v>52</v>
      </c>
      <c r="G121" s="6" t="s">
        <v>66</v>
      </c>
      <c r="H121" s="6" t="s">
        <v>60</v>
      </c>
      <c r="I121" s="6" t="s">
        <v>61</v>
      </c>
      <c r="J121" s="6" t="s">
        <v>74</v>
      </c>
      <c r="K121" s="7" t="n">
        <v>46122</v>
      </c>
      <c r="L121" s="6"/>
      <c r="M121" s="6" t="str">
        <f aca="false">IF(AND(K121&lt;&gt;"",L121&lt;&gt;""),L121-K121,"")</f>
        <v/>
      </c>
      <c r="N121" s="7" t="n">
        <v>46159</v>
      </c>
      <c r="O121" s="6" t="str">
        <f aca="false">IF(F121="Serious",15,"N/A")</f>
        <v>N/A</v>
      </c>
      <c r="P121" s="6" t="n">
        <f aca="false">N121-B121</f>
        <v>42</v>
      </c>
      <c r="Q121" s="6" t="str">
        <f aca="false">IF(F121="Serious",IF(P121&lt;=O121,"Yes","No"),"N/A")</f>
        <v>N/A</v>
      </c>
      <c r="R121" s="6" t="n">
        <f aca="false">IF(AND(I121="Yes",L121=""),Dashboard!$B$2-K121,"")</f>
        <v>92</v>
      </c>
    </row>
    <row r="122" customFormat="false" ht="15" hidden="false" customHeight="false" outlineLevel="0" collapsed="false">
      <c r="A122" s="6" t="s">
        <v>214</v>
      </c>
      <c r="B122" s="7" t="n">
        <v>45715</v>
      </c>
      <c r="C122" s="6" t="s">
        <v>73</v>
      </c>
      <c r="D122" s="6" t="s">
        <v>85</v>
      </c>
      <c r="E122" s="6" t="s">
        <v>86</v>
      </c>
      <c r="F122" s="6" t="s">
        <v>52</v>
      </c>
      <c r="G122" s="6" t="s">
        <v>59</v>
      </c>
      <c r="H122" s="6" t="s">
        <v>60</v>
      </c>
      <c r="I122" s="6" t="s">
        <v>43</v>
      </c>
      <c r="J122" s="6"/>
      <c r="K122" s="6"/>
      <c r="L122" s="6"/>
      <c r="M122" s="6" t="str">
        <f aca="false">IF(AND(K122&lt;&gt;"",L122&lt;&gt;""),L122-K122,"")</f>
        <v/>
      </c>
      <c r="N122" s="7" t="n">
        <v>45724</v>
      </c>
      <c r="O122" s="6" t="str">
        <f aca="false">IF(F122="Serious",15,"N/A")</f>
        <v>N/A</v>
      </c>
      <c r="P122" s="6" t="n">
        <f aca="false">N122-B122</f>
        <v>9</v>
      </c>
      <c r="Q122" s="6" t="str">
        <f aca="false">IF(F122="Serious",IF(P122&lt;=O122,"Yes","No"),"N/A")</f>
        <v>N/A</v>
      </c>
      <c r="R122" s="6" t="str">
        <f aca="false">IF(AND(I122="Yes",L122=""),Dashboard!$B$2-K122,"")</f>
        <v/>
      </c>
    </row>
    <row r="123" customFormat="false" ht="15" hidden="false" customHeight="false" outlineLevel="0" collapsed="false">
      <c r="A123" s="6" t="s">
        <v>215</v>
      </c>
      <c r="B123" s="7" t="n">
        <v>45750</v>
      </c>
      <c r="C123" s="6" t="s">
        <v>64</v>
      </c>
      <c r="D123" s="6" t="s">
        <v>50</v>
      </c>
      <c r="E123" s="6" t="s">
        <v>51</v>
      </c>
      <c r="F123" s="6" t="s">
        <v>52</v>
      </c>
      <c r="G123" s="6" t="s">
        <v>47</v>
      </c>
      <c r="H123" s="6" t="s">
        <v>42</v>
      </c>
      <c r="I123" s="6" t="s">
        <v>43</v>
      </c>
      <c r="J123" s="6"/>
      <c r="K123" s="6"/>
      <c r="L123" s="6"/>
      <c r="M123" s="6" t="str">
        <f aca="false">IF(AND(K123&lt;&gt;"",L123&lt;&gt;""),L123-K123,"")</f>
        <v/>
      </c>
      <c r="N123" s="7" t="n">
        <v>45783</v>
      </c>
      <c r="O123" s="6" t="str">
        <f aca="false">IF(F123="Serious",15,"N/A")</f>
        <v>N/A</v>
      </c>
      <c r="P123" s="6" t="n">
        <f aca="false">N123-B123</f>
        <v>33</v>
      </c>
      <c r="Q123" s="6" t="str">
        <f aca="false">IF(F123="Serious",IF(P123&lt;=O123,"Yes","No"),"N/A")</f>
        <v>N/A</v>
      </c>
      <c r="R123" s="6" t="str">
        <f aca="false">IF(AND(I123="Yes",L123=""),Dashboard!$B$2-K123,"")</f>
        <v/>
      </c>
    </row>
    <row r="124" customFormat="false" ht="15" hidden="false" customHeight="false" outlineLevel="0" collapsed="false">
      <c r="A124" s="6" t="s">
        <v>216</v>
      </c>
      <c r="B124" s="7" t="n">
        <v>45850</v>
      </c>
      <c r="C124" s="6" t="s">
        <v>73</v>
      </c>
      <c r="D124" s="6" t="s">
        <v>50</v>
      </c>
      <c r="E124" s="6" t="s">
        <v>51</v>
      </c>
      <c r="F124" s="6" t="s">
        <v>52</v>
      </c>
      <c r="G124" s="6" t="s">
        <v>121</v>
      </c>
      <c r="H124" s="6" t="s">
        <v>42</v>
      </c>
      <c r="I124" s="6" t="s">
        <v>43</v>
      </c>
      <c r="J124" s="6"/>
      <c r="K124" s="6"/>
      <c r="L124" s="6"/>
      <c r="M124" s="6" t="str">
        <f aca="false">IF(AND(K124&lt;&gt;"",L124&lt;&gt;""),L124-K124,"")</f>
        <v/>
      </c>
      <c r="N124" s="7" t="n">
        <v>45908</v>
      </c>
      <c r="O124" s="6" t="str">
        <f aca="false">IF(F124="Serious",15,"N/A")</f>
        <v>N/A</v>
      </c>
      <c r="P124" s="6" t="n">
        <f aca="false">N124-B124</f>
        <v>58</v>
      </c>
      <c r="Q124" s="6" t="str">
        <f aca="false">IF(F124="Serious",IF(P124&lt;=O124,"Yes","No"),"N/A")</f>
        <v>N/A</v>
      </c>
      <c r="R124" s="6" t="str">
        <f aca="false">IF(AND(I124="Yes",L124=""),Dashboard!$B$2-K124,"")</f>
        <v/>
      </c>
    </row>
    <row r="125" customFormat="false" ht="15" hidden="false" customHeight="false" outlineLevel="0" collapsed="false">
      <c r="A125" s="6" t="s">
        <v>217</v>
      </c>
      <c r="B125" s="7" t="n">
        <v>46009</v>
      </c>
      <c r="C125" s="6" t="s">
        <v>37</v>
      </c>
      <c r="D125" s="6" t="s">
        <v>85</v>
      </c>
      <c r="E125" s="6" t="s">
        <v>86</v>
      </c>
      <c r="F125" s="6" t="s">
        <v>40</v>
      </c>
      <c r="G125" s="6" t="s">
        <v>66</v>
      </c>
      <c r="H125" s="6" t="s">
        <v>129</v>
      </c>
      <c r="I125" s="6" t="s">
        <v>61</v>
      </c>
      <c r="J125" s="6" t="s">
        <v>76</v>
      </c>
      <c r="K125" s="7" t="n">
        <v>46012</v>
      </c>
      <c r="L125" s="7" t="n">
        <v>46045</v>
      </c>
      <c r="M125" s="6" t="n">
        <f aca="false">IF(AND(K125&lt;&gt;"",L125&lt;&gt;""),L125-K125,"")</f>
        <v>33</v>
      </c>
      <c r="N125" s="7" t="n">
        <v>46023</v>
      </c>
      <c r="O125" s="6" t="n">
        <f aca="false">IF(F125="Serious",15,"N/A")</f>
        <v>15</v>
      </c>
      <c r="P125" s="6" t="n">
        <f aca="false">N125-B125</f>
        <v>14</v>
      </c>
      <c r="Q125" s="6" t="str">
        <f aca="false">IF(F125="Serious",IF(P125&lt;=O125,"Yes","No"),"N/A")</f>
        <v>Yes</v>
      </c>
      <c r="R125" s="6" t="str">
        <f aca="false">IF(AND(I125="Yes",L125=""),Dashboard!$B$2-K125,"")</f>
        <v/>
      </c>
    </row>
    <row r="126" customFormat="false" ht="15" hidden="false" customHeight="false" outlineLevel="0" collapsed="false">
      <c r="A126" s="6" t="s">
        <v>218</v>
      </c>
      <c r="B126" s="7" t="n">
        <v>46004</v>
      </c>
      <c r="C126" s="6" t="s">
        <v>64</v>
      </c>
      <c r="D126" s="6" t="s">
        <v>79</v>
      </c>
      <c r="E126" s="6" t="s">
        <v>112</v>
      </c>
      <c r="F126" s="6" t="s">
        <v>40</v>
      </c>
      <c r="G126" s="6" t="s">
        <v>53</v>
      </c>
      <c r="H126" s="6" t="s">
        <v>42</v>
      </c>
      <c r="I126" s="6" t="s">
        <v>61</v>
      </c>
      <c r="J126" s="6" t="s">
        <v>126</v>
      </c>
      <c r="K126" s="7" t="n">
        <v>46014</v>
      </c>
      <c r="L126" s="6"/>
      <c r="M126" s="6" t="str">
        <f aca="false">IF(AND(K126&lt;&gt;"",L126&lt;&gt;""),L126-K126,"")</f>
        <v/>
      </c>
      <c r="N126" s="7" t="n">
        <v>46015</v>
      </c>
      <c r="O126" s="6" t="n">
        <f aca="false">IF(F126="Serious",15,"N/A")</f>
        <v>15</v>
      </c>
      <c r="P126" s="6" t="n">
        <f aca="false">N126-B126</f>
        <v>11</v>
      </c>
      <c r="Q126" s="6" t="str">
        <f aca="false">IF(F126="Serious",IF(P126&lt;=O126,"Yes","No"),"N/A")</f>
        <v>Yes</v>
      </c>
      <c r="R126" s="6" t="n">
        <f aca="false">IF(AND(I126="Yes",L126=""),Dashboard!$B$2-K126,"")</f>
        <v>200</v>
      </c>
    </row>
    <row r="127" customFormat="false" ht="15" hidden="false" customHeight="false" outlineLevel="0" collapsed="false">
      <c r="A127" s="6" t="s">
        <v>219</v>
      </c>
      <c r="B127" s="7" t="n">
        <v>45802</v>
      </c>
      <c r="C127" s="6" t="s">
        <v>73</v>
      </c>
      <c r="D127" s="6" t="s">
        <v>38</v>
      </c>
      <c r="E127" s="6" t="s">
        <v>65</v>
      </c>
      <c r="F127" s="6" t="s">
        <v>40</v>
      </c>
      <c r="G127" s="6" t="s">
        <v>66</v>
      </c>
      <c r="H127" s="6" t="s">
        <v>60</v>
      </c>
      <c r="I127" s="6" t="s">
        <v>61</v>
      </c>
      <c r="J127" s="6" t="s">
        <v>126</v>
      </c>
      <c r="K127" s="7" t="n">
        <v>45808</v>
      </c>
      <c r="L127" s="6"/>
      <c r="M127" s="6" t="str">
        <f aca="false">IF(AND(K127&lt;&gt;"",L127&lt;&gt;""),L127-K127,"")</f>
        <v/>
      </c>
      <c r="N127" s="7" t="n">
        <v>45815</v>
      </c>
      <c r="O127" s="6" t="n">
        <f aca="false">IF(F127="Serious",15,"N/A")</f>
        <v>15</v>
      </c>
      <c r="P127" s="6" t="n">
        <f aca="false">N127-B127</f>
        <v>13</v>
      </c>
      <c r="Q127" s="6" t="str">
        <f aca="false">IF(F127="Serious",IF(P127&lt;=O127,"Yes","No"),"N/A")</f>
        <v>Yes</v>
      </c>
      <c r="R127" s="6" t="n">
        <f aca="false">IF(AND(I127="Yes",L127=""),Dashboard!$B$2-K127,"")</f>
        <v>406</v>
      </c>
    </row>
    <row r="128" customFormat="false" ht="15" hidden="false" customHeight="false" outlineLevel="0" collapsed="false">
      <c r="A128" s="6" t="s">
        <v>220</v>
      </c>
      <c r="B128" s="7" t="n">
        <v>46197</v>
      </c>
      <c r="C128" s="6" t="s">
        <v>37</v>
      </c>
      <c r="D128" s="6" t="s">
        <v>101</v>
      </c>
      <c r="E128" s="6" t="s">
        <v>132</v>
      </c>
      <c r="F128" s="6" t="s">
        <v>52</v>
      </c>
      <c r="G128" s="6" t="s">
        <v>59</v>
      </c>
      <c r="H128" s="6" t="s">
        <v>60</v>
      </c>
      <c r="I128" s="6" t="s">
        <v>61</v>
      </c>
      <c r="J128" s="6" t="s">
        <v>74</v>
      </c>
      <c r="K128" s="7" t="n">
        <v>46201</v>
      </c>
      <c r="L128" s="7" t="n">
        <v>46208</v>
      </c>
      <c r="M128" s="6" t="n">
        <f aca="false">IF(AND(K128&lt;&gt;"",L128&lt;&gt;""),L128-K128,"")</f>
        <v>7</v>
      </c>
      <c r="N128" s="7" t="n">
        <v>46206</v>
      </c>
      <c r="O128" s="6" t="str">
        <f aca="false">IF(F128="Serious",15,"N/A")</f>
        <v>N/A</v>
      </c>
      <c r="P128" s="6" t="n">
        <f aca="false">N128-B128</f>
        <v>9</v>
      </c>
      <c r="Q128" s="6" t="str">
        <f aca="false">IF(F128="Serious",IF(P128&lt;=O128,"Yes","No"),"N/A")</f>
        <v>N/A</v>
      </c>
      <c r="R128" s="6" t="str">
        <f aca="false">IF(AND(I128="Yes",L128=""),Dashboard!$B$2-K128,"")</f>
        <v/>
      </c>
    </row>
    <row r="129" customFormat="false" ht="15" hidden="false" customHeight="false" outlineLevel="0" collapsed="false">
      <c r="A129" s="6" t="s">
        <v>221</v>
      </c>
      <c r="B129" s="7" t="n">
        <v>45960</v>
      </c>
      <c r="C129" s="6" t="s">
        <v>37</v>
      </c>
      <c r="D129" s="6" t="s">
        <v>85</v>
      </c>
      <c r="E129" s="6" t="s">
        <v>86</v>
      </c>
      <c r="F129" s="6" t="s">
        <v>52</v>
      </c>
      <c r="G129" s="6" t="s">
        <v>88</v>
      </c>
      <c r="H129" s="6" t="s">
        <v>42</v>
      </c>
      <c r="I129" s="6" t="s">
        <v>61</v>
      </c>
      <c r="J129" s="6" t="s">
        <v>98</v>
      </c>
      <c r="K129" s="7" t="n">
        <v>45963</v>
      </c>
      <c r="L129" s="7" t="n">
        <v>45985</v>
      </c>
      <c r="M129" s="6" t="n">
        <f aca="false">IF(AND(K129&lt;&gt;"",L129&lt;&gt;""),L129-K129,"")</f>
        <v>22</v>
      </c>
      <c r="N129" s="7" t="n">
        <v>46004</v>
      </c>
      <c r="O129" s="6" t="str">
        <f aca="false">IF(F129="Serious",15,"N/A")</f>
        <v>N/A</v>
      </c>
      <c r="P129" s="6" t="n">
        <f aca="false">N129-B129</f>
        <v>44</v>
      </c>
      <c r="Q129" s="6" t="str">
        <f aca="false">IF(F129="Serious",IF(P129&lt;=O129,"Yes","No"),"N/A")</f>
        <v>N/A</v>
      </c>
      <c r="R129" s="6" t="str">
        <f aca="false">IF(AND(I129="Yes",L129=""),Dashboard!$B$2-K129,"")</f>
        <v/>
      </c>
    </row>
    <row r="130" customFormat="false" ht="15" hidden="false" customHeight="false" outlineLevel="0" collapsed="false">
      <c r="A130" s="6" t="s">
        <v>222</v>
      </c>
      <c r="B130" s="7" t="n">
        <v>45827</v>
      </c>
      <c r="C130" s="6" t="s">
        <v>49</v>
      </c>
      <c r="D130" s="6" t="s">
        <v>79</v>
      </c>
      <c r="E130" s="6" t="s">
        <v>223</v>
      </c>
      <c r="F130" s="6" t="s">
        <v>52</v>
      </c>
      <c r="G130" s="6" t="s">
        <v>66</v>
      </c>
      <c r="H130" s="6" t="s">
        <v>129</v>
      </c>
      <c r="I130" s="6" t="s">
        <v>43</v>
      </c>
      <c r="J130" s="6"/>
      <c r="K130" s="6"/>
      <c r="L130" s="6"/>
      <c r="M130" s="6" t="str">
        <f aca="false">IF(AND(K130&lt;&gt;"",L130&lt;&gt;""),L130-K130,"")</f>
        <v/>
      </c>
      <c r="N130" s="7" t="n">
        <v>45880</v>
      </c>
      <c r="O130" s="6" t="str">
        <f aca="false">IF(F130="Serious",15,"N/A")</f>
        <v>N/A</v>
      </c>
      <c r="P130" s="6" t="n">
        <f aca="false">N130-B130</f>
        <v>53</v>
      </c>
      <c r="Q130" s="6" t="str">
        <f aca="false">IF(F130="Serious",IF(P130&lt;=O130,"Yes","No"),"N/A")</f>
        <v>N/A</v>
      </c>
      <c r="R130" s="6" t="str">
        <f aca="false">IF(AND(I130="Yes",L130=""),Dashboard!$B$2-K130,"")</f>
        <v/>
      </c>
    </row>
    <row r="131" customFormat="false" ht="15" hidden="false" customHeight="false" outlineLevel="0" collapsed="false">
      <c r="A131" s="6" t="s">
        <v>224</v>
      </c>
      <c r="B131" s="7" t="n">
        <v>46117</v>
      </c>
      <c r="C131" s="6" t="s">
        <v>56</v>
      </c>
      <c r="D131" s="6" t="s">
        <v>85</v>
      </c>
      <c r="E131" s="6" t="s">
        <v>86</v>
      </c>
      <c r="F131" s="6" t="s">
        <v>52</v>
      </c>
      <c r="G131" s="6" t="s">
        <v>88</v>
      </c>
      <c r="H131" s="6" t="s">
        <v>42</v>
      </c>
      <c r="I131" s="6" t="s">
        <v>43</v>
      </c>
      <c r="J131" s="6"/>
      <c r="K131" s="6"/>
      <c r="L131" s="6"/>
      <c r="M131" s="6" t="str">
        <f aca="false">IF(AND(K131&lt;&gt;"",L131&lt;&gt;""),L131-K131,"")</f>
        <v/>
      </c>
      <c r="N131" s="7" t="n">
        <v>46145</v>
      </c>
      <c r="O131" s="6" t="str">
        <f aca="false">IF(F131="Serious",15,"N/A")</f>
        <v>N/A</v>
      </c>
      <c r="P131" s="6" t="n">
        <f aca="false">N131-B131</f>
        <v>28</v>
      </c>
      <c r="Q131" s="6" t="str">
        <f aca="false">IF(F131="Serious",IF(P131&lt;=O131,"Yes","No"),"N/A")</f>
        <v>N/A</v>
      </c>
      <c r="R131" s="6" t="str">
        <f aca="false">IF(AND(I131="Yes",L131=""),Dashboard!$B$2-K131,"")</f>
        <v/>
      </c>
    </row>
    <row r="132" customFormat="false" ht="15" hidden="false" customHeight="false" outlineLevel="0" collapsed="false">
      <c r="A132" s="6" t="s">
        <v>225</v>
      </c>
      <c r="B132" s="7" t="n">
        <v>46109</v>
      </c>
      <c r="C132" s="6" t="s">
        <v>49</v>
      </c>
      <c r="D132" s="6" t="s">
        <v>38</v>
      </c>
      <c r="E132" s="6" t="s">
        <v>65</v>
      </c>
      <c r="F132" s="6" t="s">
        <v>52</v>
      </c>
      <c r="G132" s="6" t="s">
        <v>59</v>
      </c>
      <c r="H132" s="6" t="s">
        <v>60</v>
      </c>
      <c r="I132" s="6" t="s">
        <v>61</v>
      </c>
      <c r="J132" s="6" t="s">
        <v>76</v>
      </c>
      <c r="K132" s="7" t="n">
        <v>46112</v>
      </c>
      <c r="L132" s="6"/>
      <c r="M132" s="6" t="str">
        <f aca="false">IF(AND(K132&lt;&gt;"",L132&lt;&gt;""),L132-K132,"")</f>
        <v/>
      </c>
      <c r="N132" s="7" t="n">
        <v>46117</v>
      </c>
      <c r="O132" s="6" t="str">
        <f aca="false">IF(F132="Serious",15,"N/A")</f>
        <v>N/A</v>
      </c>
      <c r="P132" s="6" t="n">
        <f aca="false">N132-B132</f>
        <v>8</v>
      </c>
      <c r="Q132" s="6" t="str">
        <f aca="false">IF(F132="Serious",IF(P132&lt;=O132,"Yes","No"),"N/A")</f>
        <v>N/A</v>
      </c>
      <c r="R132" s="6" t="n">
        <f aca="false">IF(AND(I132="Yes",L132=""),Dashboard!$B$2-K132,"")</f>
        <v>102</v>
      </c>
    </row>
    <row r="133" customFormat="false" ht="15" hidden="false" customHeight="false" outlineLevel="0" collapsed="false">
      <c r="A133" s="6" t="s">
        <v>226</v>
      </c>
      <c r="B133" s="7" t="n">
        <v>46150</v>
      </c>
      <c r="C133" s="6" t="s">
        <v>73</v>
      </c>
      <c r="D133" s="6" t="s">
        <v>85</v>
      </c>
      <c r="E133" s="6" t="s">
        <v>86</v>
      </c>
      <c r="F133" s="6" t="s">
        <v>52</v>
      </c>
      <c r="G133" s="6" t="s">
        <v>47</v>
      </c>
      <c r="H133" s="6" t="s">
        <v>60</v>
      </c>
      <c r="I133" s="6" t="s">
        <v>61</v>
      </c>
      <c r="J133" s="6" t="s">
        <v>98</v>
      </c>
      <c r="K133" s="7" t="n">
        <v>46155</v>
      </c>
      <c r="L133" s="7" t="n">
        <v>46171</v>
      </c>
      <c r="M133" s="6" t="n">
        <f aca="false">IF(AND(K133&lt;&gt;"",L133&lt;&gt;""),L133-K133,"")</f>
        <v>16</v>
      </c>
      <c r="N133" s="7" t="n">
        <v>46208</v>
      </c>
      <c r="O133" s="6" t="str">
        <f aca="false">IF(F133="Serious",15,"N/A")</f>
        <v>N/A</v>
      </c>
      <c r="P133" s="6" t="n">
        <f aca="false">N133-B133</f>
        <v>58</v>
      </c>
      <c r="Q133" s="6" t="str">
        <f aca="false">IF(F133="Serious",IF(P133&lt;=O133,"Yes","No"),"N/A")</f>
        <v>N/A</v>
      </c>
      <c r="R133" s="6" t="str">
        <f aca="false">IF(AND(I133="Yes",L133=""),Dashboard!$B$2-K133,"")</f>
        <v/>
      </c>
    </row>
    <row r="134" customFormat="false" ht="15" hidden="false" customHeight="false" outlineLevel="0" collapsed="false">
      <c r="A134" s="6" t="s">
        <v>227</v>
      </c>
      <c r="B134" s="7" t="n">
        <v>46105</v>
      </c>
      <c r="C134" s="6" t="s">
        <v>37</v>
      </c>
      <c r="D134" s="6" t="s">
        <v>57</v>
      </c>
      <c r="E134" s="6" t="s">
        <v>58</v>
      </c>
      <c r="F134" s="6" t="s">
        <v>52</v>
      </c>
      <c r="G134" s="6" t="s">
        <v>71</v>
      </c>
      <c r="H134" s="6" t="s">
        <v>60</v>
      </c>
      <c r="I134" s="6" t="s">
        <v>61</v>
      </c>
      <c r="J134" s="6" t="s">
        <v>62</v>
      </c>
      <c r="K134" s="7" t="n">
        <v>46109</v>
      </c>
      <c r="L134" s="7" t="n">
        <v>46115</v>
      </c>
      <c r="M134" s="6" t="n">
        <f aca="false">IF(AND(K134&lt;&gt;"",L134&lt;&gt;""),L134-K134,"")</f>
        <v>6</v>
      </c>
      <c r="N134" s="7" t="n">
        <v>46124</v>
      </c>
      <c r="O134" s="6" t="str">
        <f aca="false">IF(F134="Serious",15,"N/A")</f>
        <v>N/A</v>
      </c>
      <c r="P134" s="6" t="n">
        <f aca="false">N134-B134</f>
        <v>19</v>
      </c>
      <c r="Q134" s="6" t="str">
        <f aca="false">IF(F134="Serious",IF(P134&lt;=O134,"Yes","No"),"N/A")</f>
        <v>N/A</v>
      </c>
      <c r="R134" s="6" t="str">
        <f aca="false">IF(AND(I134="Yes",L134=""),Dashboard!$B$2-K134,"")</f>
        <v/>
      </c>
    </row>
    <row r="135" customFormat="false" ht="15" hidden="false" customHeight="false" outlineLevel="0" collapsed="false">
      <c r="A135" s="6" t="s">
        <v>228</v>
      </c>
      <c r="B135" s="7" t="n">
        <v>45686</v>
      </c>
      <c r="C135" s="6" t="s">
        <v>73</v>
      </c>
      <c r="D135" s="6" t="s">
        <v>45</v>
      </c>
      <c r="E135" s="6" t="s">
        <v>91</v>
      </c>
      <c r="F135" s="6" t="s">
        <v>52</v>
      </c>
      <c r="G135" s="6" t="s">
        <v>41</v>
      </c>
      <c r="H135" s="6" t="s">
        <v>60</v>
      </c>
      <c r="I135" s="6" t="s">
        <v>61</v>
      </c>
      <c r="J135" s="6" t="s">
        <v>74</v>
      </c>
      <c r="K135" s="7" t="n">
        <v>45689</v>
      </c>
      <c r="L135" s="6"/>
      <c r="M135" s="6" t="str">
        <f aca="false">IF(AND(K135&lt;&gt;"",L135&lt;&gt;""),L135-K135,"")</f>
        <v/>
      </c>
      <c r="N135" s="7" t="n">
        <v>45721</v>
      </c>
      <c r="O135" s="6" t="str">
        <f aca="false">IF(F135="Serious",15,"N/A")</f>
        <v>N/A</v>
      </c>
      <c r="P135" s="6" t="n">
        <f aca="false">N135-B135</f>
        <v>35</v>
      </c>
      <c r="Q135" s="6" t="str">
        <f aca="false">IF(F135="Serious",IF(P135&lt;=O135,"Yes","No"),"N/A")</f>
        <v>N/A</v>
      </c>
      <c r="R135" s="6" t="n">
        <f aca="false">IF(AND(I135="Yes",L135=""),Dashboard!$B$2-K135,"")</f>
        <v>525</v>
      </c>
    </row>
    <row r="136" customFormat="false" ht="15" hidden="false" customHeight="false" outlineLevel="0" collapsed="false">
      <c r="A136" s="6" t="s">
        <v>229</v>
      </c>
      <c r="B136" s="7" t="n">
        <v>46117</v>
      </c>
      <c r="C136" s="6" t="s">
        <v>64</v>
      </c>
      <c r="D136" s="6" t="s">
        <v>79</v>
      </c>
      <c r="E136" s="6" t="s">
        <v>80</v>
      </c>
      <c r="F136" s="6" t="s">
        <v>40</v>
      </c>
      <c r="G136" s="6" t="s">
        <v>53</v>
      </c>
      <c r="H136" s="6" t="s">
        <v>60</v>
      </c>
      <c r="I136" s="6" t="s">
        <v>43</v>
      </c>
      <c r="J136" s="6"/>
      <c r="K136" s="6"/>
      <c r="L136" s="6"/>
      <c r="M136" s="6" t="str">
        <f aca="false">IF(AND(K136&lt;&gt;"",L136&lt;&gt;""),L136-K136,"")</f>
        <v/>
      </c>
      <c r="N136" s="7" t="n">
        <v>46125</v>
      </c>
      <c r="O136" s="6" t="n">
        <f aca="false">IF(F136="Serious",15,"N/A")</f>
        <v>15</v>
      </c>
      <c r="P136" s="6" t="n">
        <f aca="false">N136-B136</f>
        <v>8</v>
      </c>
      <c r="Q136" s="6" t="str">
        <f aca="false">IF(F136="Serious",IF(P136&lt;=O136,"Yes","No"),"N/A")</f>
        <v>Yes</v>
      </c>
      <c r="R136" s="6" t="str">
        <f aca="false">IF(AND(I136="Yes",L136=""),Dashboard!$B$2-K136,"")</f>
        <v/>
      </c>
    </row>
    <row r="137" customFormat="false" ht="15" hidden="false" customHeight="false" outlineLevel="0" collapsed="false">
      <c r="A137" s="6" t="s">
        <v>230</v>
      </c>
      <c r="B137" s="7" t="n">
        <v>45771</v>
      </c>
      <c r="C137" s="6" t="s">
        <v>73</v>
      </c>
      <c r="D137" s="6" t="s">
        <v>57</v>
      </c>
      <c r="E137" s="6" t="s">
        <v>58</v>
      </c>
      <c r="F137" s="6" t="s">
        <v>40</v>
      </c>
      <c r="G137" s="6" t="s">
        <v>53</v>
      </c>
      <c r="H137" s="6" t="s">
        <v>42</v>
      </c>
      <c r="I137" s="6" t="s">
        <v>43</v>
      </c>
      <c r="J137" s="6"/>
      <c r="K137" s="6"/>
      <c r="L137" s="6"/>
      <c r="M137" s="6" t="str">
        <f aca="false">IF(AND(K137&lt;&gt;"",L137&lt;&gt;""),L137-K137,"")</f>
        <v/>
      </c>
      <c r="N137" s="7" t="n">
        <v>45780</v>
      </c>
      <c r="O137" s="6" t="n">
        <f aca="false">IF(F137="Serious",15,"N/A")</f>
        <v>15</v>
      </c>
      <c r="P137" s="6" t="n">
        <f aca="false">N137-B137</f>
        <v>9</v>
      </c>
      <c r="Q137" s="6" t="str">
        <f aca="false">IF(F137="Serious",IF(P137&lt;=O137,"Yes","No"),"N/A")</f>
        <v>Yes</v>
      </c>
      <c r="R137" s="6" t="str">
        <f aca="false">IF(AND(I137="Yes",L137=""),Dashboard!$B$2-K137,"")</f>
        <v/>
      </c>
    </row>
    <row r="138" customFormat="false" ht="15" hidden="false" customHeight="false" outlineLevel="0" collapsed="false">
      <c r="A138" s="6" t="s">
        <v>231</v>
      </c>
      <c r="B138" s="7" t="n">
        <v>45674</v>
      </c>
      <c r="C138" s="6" t="s">
        <v>64</v>
      </c>
      <c r="D138" s="6" t="s">
        <v>50</v>
      </c>
      <c r="E138" s="6" t="s">
        <v>138</v>
      </c>
      <c r="F138" s="6" t="s">
        <v>52</v>
      </c>
      <c r="G138" s="6" t="s">
        <v>53</v>
      </c>
      <c r="H138" s="6" t="s">
        <v>60</v>
      </c>
      <c r="I138" s="6" t="s">
        <v>61</v>
      </c>
      <c r="J138" s="6" t="s">
        <v>76</v>
      </c>
      <c r="K138" s="7" t="n">
        <v>45681</v>
      </c>
      <c r="L138" s="7" t="n">
        <v>45702</v>
      </c>
      <c r="M138" s="6" t="n">
        <f aca="false">IF(AND(K138&lt;&gt;"",L138&lt;&gt;""),L138-K138,"")</f>
        <v>21</v>
      </c>
      <c r="N138" s="7" t="n">
        <v>45712</v>
      </c>
      <c r="O138" s="6" t="str">
        <f aca="false">IF(F138="Serious",15,"N/A")</f>
        <v>N/A</v>
      </c>
      <c r="P138" s="6" t="n">
        <f aca="false">N138-B138</f>
        <v>38</v>
      </c>
      <c r="Q138" s="6" t="str">
        <f aca="false">IF(F138="Serious",IF(P138&lt;=O138,"Yes","No"),"N/A")</f>
        <v>N/A</v>
      </c>
      <c r="R138" s="6" t="str">
        <f aca="false">IF(AND(I138="Yes",L138=""),Dashboard!$B$2-K138,"")</f>
        <v/>
      </c>
    </row>
    <row r="139" customFormat="false" ht="15" hidden="false" customHeight="false" outlineLevel="0" collapsed="false">
      <c r="A139" s="6" t="s">
        <v>232</v>
      </c>
      <c r="B139" s="7" t="n">
        <v>46027</v>
      </c>
      <c r="C139" s="6" t="s">
        <v>37</v>
      </c>
      <c r="D139" s="6" t="s">
        <v>85</v>
      </c>
      <c r="E139" s="6" t="s">
        <v>86</v>
      </c>
      <c r="F139" s="6" t="s">
        <v>52</v>
      </c>
      <c r="G139" s="6" t="s">
        <v>59</v>
      </c>
      <c r="H139" s="6" t="s">
        <v>42</v>
      </c>
      <c r="I139" s="6" t="s">
        <v>43</v>
      </c>
      <c r="J139" s="6"/>
      <c r="K139" s="6"/>
      <c r="L139" s="6"/>
      <c r="M139" s="6" t="str">
        <f aca="false">IF(AND(K139&lt;&gt;"",L139&lt;&gt;""),L139-K139,"")</f>
        <v/>
      </c>
      <c r="N139" s="7" t="n">
        <v>46048</v>
      </c>
      <c r="O139" s="6" t="str">
        <f aca="false">IF(F139="Serious",15,"N/A")</f>
        <v>N/A</v>
      </c>
      <c r="P139" s="6" t="n">
        <f aca="false">N139-B139</f>
        <v>21</v>
      </c>
      <c r="Q139" s="6" t="str">
        <f aca="false">IF(F139="Serious",IF(P139&lt;=O139,"Yes","No"),"N/A")</f>
        <v>N/A</v>
      </c>
      <c r="R139" s="6" t="str">
        <f aca="false">IF(AND(I139="Yes",L139=""),Dashboard!$B$2-K139,"")</f>
        <v/>
      </c>
    </row>
    <row r="140" customFormat="false" ht="15" hidden="false" customHeight="false" outlineLevel="0" collapsed="false">
      <c r="A140" s="6" t="s">
        <v>233</v>
      </c>
      <c r="B140" s="7" t="n">
        <v>45674</v>
      </c>
      <c r="C140" s="6" t="s">
        <v>73</v>
      </c>
      <c r="D140" s="6" t="s">
        <v>45</v>
      </c>
      <c r="E140" s="6" t="s">
        <v>167</v>
      </c>
      <c r="F140" s="6" t="s">
        <v>40</v>
      </c>
      <c r="G140" s="6" t="s">
        <v>66</v>
      </c>
      <c r="H140" s="6" t="s">
        <v>60</v>
      </c>
      <c r="I140" s="6" t="s">
        <v>61</v>
      </c>
      <c r="J140" s="6" t="s">
        <v>62</v>
      </c>
      <c r="K140" s="7" t="n">
        <v>45677</v>
      </c>
      <c r="L140" s="7" t="n">
        <v>45694</v>
      </c>
      <c r="M140" s="6" t="n">
        <f aca="false">IF(AND(K140&lt;&gt;"",L140&lt;&gt;""),L140-K140,"")</f>
        <v>17</v>
      </c>
      <c r="N140" s="7" t="n">
        <v>45678</v>
      </c>
      <c r="O140" s="6" t="n">
        <f aca="false">IF(F140="Serious",15,"N/A")</f>
        <v>15</v>
      </c>
      <c r="P140" s="6" t="n">
        <f aca="false">N140-B140</f>
        <v>4</v>
      </c>
      <c r="Q140" s="6" t="str">
        <f aca="false">IF(F140="Serious",IF(P140&lt;=O140,"Yes","No"),"N/A")</f>
        <v>Yes</v>
      </c>
      <c r="R140" s="6" t="str">
        <f aca="false">IF(AND(I140="Yes",L140=""),Dashboard!$B$2-K140,"")</f>
        <v/>
      </c>
    </row>
    <row r="141" customFormat="false" ht="15" hidden="false" customHeight="false" outlineLevel="0" collapsed="false">
      <c r="A141" s="6" t="s">
        <v>234</v>
      </c>
      <c r="B141" s="7" t="n">
        <v>46133</v>
      </c>
      <c r="C141" s="6" t="s">
        <v>49</v>
      </c>
      <c r="D141" s="6" t="s">
        <v>82</v>
      </c>
      <c r="E141" s="6" t="s">
        <v>116</v>
      </c>
      <c r="F141" s="6" t="s">
        <v>40</v>
      </c>
      <c r="G141" s="6" t="s">
        <v>41</v>
      </c>
      <c r="H141" s="6" t="s">
        <v>42</v>
      </c>
      <c r="I141" s="6" t="s">
        <v>61</v>
      </c>
      <c r="J141" s="6" t="s">
        <v>89</v>
      </c>
      <c r="K141" s="7" t="n">
        <v>46137</v>
      </c>
      <c r="L141" s="6"/>
      <c r="M141" s="6" t="str">
        <f aca="false">IF(AND(K141&lt;&gt;"",L141&lt;&gt;""),L141-K141,"")</f>
        <v/>
      </c>
      <c r="N141" s="7" t="n">
        <v>46139</v>
      </c>
      <c r="O141" s="6" t="n">
        <f aca="false">IF(F141="Serious",15,"N/A")</f>
        <v>15</v>
      </c>
      <c r="P141" s="6" t="n">
        <f aca="false">N141-B141</f>
        <v>6</v>
      </c>
      <c r="Q141" s="6" t="str">
        <f aca="false">IF(F141="Serious",IF(P141&lt;=O141,"Yes","No"),"N/A")</f>
        <v>Yes</v>
      </c>
      <c r="R141" s="6" t="n">
        <f aca="false">IF(AND(I141="Yes",L141=""),Dashboard!$B$2-K141,"")</f>
        <v>77</v>
      </c>
    </row>
    <row r="142" customFormat="false" ht="15" hidden="false" customHeight="false" outlineLevel="0" collapsed="false">
      <c r="A142" s="6" t="s">
        <v>235</v>
      </c>
      <c r="B142" s="7" t="n">
        <v>46185</v>
      </c>
      <c r="C142" s="6" t="s">
        <v>49</v>
      </c>
      <c r="D142" s="6" t="s">
        <v>85</v>
      </c>
      <c r="E142" s="6" t="s">
        <v>109</v>
      </c>
      <c r="F142" s="6" t="s">
        <v>52</v>
      </c>
      <c r="G142" s="6" t="s">
        <v>41</v>
      </c>
      <c r="H142" s="6" t="s">
        <v>60</v>
      </c>
      <c r="I142" s="6" t="s">
        <v>61</v>
      </c>
      <c r="J142" s="6" t="s">
        <v>89</v>
      </c>
      <c r="K142" s="7" t="n">
        <v>46191</v>
      </c>
      <c r="L142" s="6"/>
      <c r="M142" s="6" t="str">
        <f aca="false">IF(AND(K142&lt;&gt;"",L142&lt;&gt;""),L142-K142,"")</f>
        <v/>
      </c>
      <c r="N142" s="7" t="n">
        <v>46217</v>
      </c>
      <c r="O142" s="6" t="str">
        <f aca="false">IF(F142="Serious",15,"N/A")</f>
        <v>N/A</v>
      </c>
      <c r="P142" s="6" t="n">
        <f aca="false">N142-B142</f>
        <v>32</v>
      </c>
      <c r="Q142" s="6" t="str">
        <f aca="false">IF(F142="Serious",IF(P142&lt;=O142,"Yes","No"),"N/A")</f>
        <v>N/A</v>
      </c>
      <c r="R142" s="6" t="n">
        <f aca="false">IF(AND(I142="Yes",L142=""),Dashboard!$B$2-K142,"")</f>
        <v>23</v>
      </c>
    </row>
    <row r="143" customFormat="false" ht="15" hidden="false" customHeight="false" outlineLevel="0" collapsed="false">
      <c r="A143" s="6" t="s">
        <v>236</v>
      </c>
      <c r="B143" s="7" t="n">
        <v>46067</v>
      </c>
      <c r="C143" s="6" t="s">
        <v>49</v>
      </c>
      <c r="D143" s="6" t="s">
        <v>101</v>
      </c>
      <c r="E143" s="6" t="s">
        <v>102</v>
      </c>
      <c r="F143" s="6" t="s">
        <v>52</v>
      </c>
      <c r="G143" s="6" t="s">
        <v>59</v>
      </c>
      <c r="H143" s="6" t="s">
        <v>42</v>
      </c>
      <c r="I143" s="6" t="s">
        <v>43</v>
      </c>
      <c r="J143" s="6"/>
      <c r="K143" s="6"/>
      <c r="L143" s="6"/>
      <c r="M143" s="6" t="str">
        <f aca="false">IF(AND(K143&lt;&gt;"",L143&lt;&gt;""),L143-K143,"")</f>
        <v/>
      </c>
      <c r="N143" s="7" t="n">
        <v>46105</v>
      </c>
      <c r="O143" s="6" t="str">
        <f aca="false">IF(F143="Serious",15,"N/A")</f>
        <v>N/A</v>
      </c>
      <c r="P143" s="6" t="n">
        <f aca="false">N143-B143</f>
        <v>38</v>
      </c>
      <c r="Q143" s="6" t="str">
        <f aca="false">IF(F143="Serious",IF(P143&lt;=O143,"Yes","No"),"N/A")</f>
        <v>N/A</v>
      </c>
      <c r="R143" s="6" t="str">
        <f aca="false">IF(AND(I143="Yes",L143=""),Dashboard!$B$2-K143,"")</f>
        <v/>
      </c>
    </row>
    <row r="144" customFormat="false" ht="15" hidden="false" customHeight="false" outlineLevel="0" collapsed="false">
      <c r="A144" s="6" t="s">
        <v>237</v>
      </c>
      <c r="B144" s="7" t="n">
        <v>45931</v>
      </c>
      <c r="C144" s="6" t="s">
        <v>37</v>
      </c>
      <c r="D144" s="6" t="s">
        <v>101</v>
      </c>
      <c r="E144" s="6" t="s">
        <v>124</v>
      </c>
      <c r="F144" s="6" t="s">
        <v>52</v>
      </c>
      <c r="G144" s="6" t="s">
        <v>121</v>
      </c>
      <c r="H144" s="6" t="s">
        <v>60</v>
      </c>
      <c r="I144" s="6" t="s">
        <v>61</v>
      </c>
      <c r="J144" s="6" t="s">
        <v>89</v>
      </c>
      <c r="K144" s="7" t="n">
        <v>45933</v>
      </c>
      <c r="L144" s="7" t="n">
        <v>45944</v>
      </c>
      <c r="M144" s="6" t="n">
        <f aca="false">IF(AND(K144&lt;&gt;"",L144&lt;&gt;""),L144-K144,"")</f>
        <v>11</v>
      </c>
      <c r="N144" s="7" t="n">
        <v>45964</v>
      </c>
      <c r="O144" s="6" t="str">
        <f aca="false">IF(F144="Serious",15,"N/A")</f>
        <v>N/A</v>
      </c>
      <c r="P144" s="6" t="n">
        <f aca="false">N144-B144</f>
        <v>33</v>
      </c>
      <c r="Q144" s="6" t="str">
        <f aca="false">IF(F144="Serious",IF(P144&lt;=O144,"Yes","No"),"N/A")</f>
        <v>N/A</v>
      </c>
      <c r="R144" s="6" t="str">
        <f aca="false">IF(AND(I144="Yes",L144=""),Dashboard!$B$2-K144,"")</f>
        <v/>
      </c>
    </row>
    <row r="145" customFormat="false" ht="15" hidden="false" customHeight="false" outlineLevel="0" collapsed="false">
      <c r="A145" s="6" t="s">
        <v>238</v>
      </c>
      <c r="B145" s="7" t="n">
        <v>46094</v>
      </c>
      <c r="C145" s="6" t="s">
        <v>56</v>
      </c>
      <c r="D145" s="6" t="s">
        <v>69</v>
      </c>
      <c r="E145" s="6" t="s">
        <v>70</v>
      </c>
      <c r="F145" s="6" t="s">
        <v>52</v>
      </c>
      <c r="G145" s="6" t="s">
        <v>41</v>
      </c>
      <c r="H145" s="6" t="s">
        <v>54</v>
      </c>
      <c r="I145" s="6" t="s">
        <v>43</v>
      </c>
      <c r="J145" s="6"/>
      <c r="K145" s="6"/>
      <c r="L145" s="6"/>
      <c r="M145" s="6" t="str">
        <f aca="false">IF(AND(K145&lt;&gt;"",L145&lt;&gt;""),L145-K145,"")</f>
        <v/>
      </c>
      <c r="N145" s="7" t="n">
        <v>46126</v>
      </c>
      <c r="O145" s="6" t="str">
        <f aca="false">IF(F145="Serious",15,"N/A")</f>
        <v>N/A</v>
      </c>
      <c r="P145" s="6" t="n">
        <f aca="false">N145-B145</f>
        <v>32</v>
      </c>
      <c r="Q145" s="6" t="str">
        <f aca="false">IF(F145="Serious",IF(P145&lt;=O145,"Yes","No"),"N/A")</f>
        <v>N/A</v>
      </c>
      <c r="R145" s="6" t="str">
        <f aca="false">IF(AND(I145="Yes",L145=""),Dashboard!$B$2-K145,"")</f>
        <v/>
      </c>
    </row>
    <row r="146" customFormat="false" ht="15" hidden="false" customHeight="false" outlineLevel="0" collapsed="false">
      <c r="A146" s="6" t="s">
        <v>239</v>
      </c>
      <c r="B146" s="7" t="n">
        <v>45939</v>
      </c>
      <c r="C146" s="6" t="s">
        <v>37</v>
      </c>
      <c r="D146" s="6" t="s">
        <v>45</v>
      </c>
      <c r="E146" s="6" t="s">
        <v>91</v>
      </c>
      <c r="F146" s="6" t="s">
        <v>52</v>
      </c>
      <c r="G146" s="6" t="s">
        <v>59</v>
      </c>
      <c r="H146" s="6" t="s">
        <v>54</v>
      </c>
      <c r="I146" s="6" t="s">
        <v>43</v>
      </c>
      <c r="J146" s="6"/>
      <c r="K146" s="6"/>
      <c r="L146" s="6"/>
      <c r="M146" s="6" t="str">
        <f aca="false">IF(AND(K146&lt;&gt;"",L146&lt;&gt;""),L146-K146,"")</f>
        <v/>
      </c>
      <c r="N146" s="7" t="n">
        <v>45945</v>
      </c>
      <c r="O146" s="6" t="str">
        <f aca="false">IF(F146="Serious",15,"N/A")</f>
        <v>N/A</v>
      </c>
      <c r="P146" s="6" t="n">
        <f aca="false">N146-B146</f>
        <v>6</v>
      </c>
      <c r="Q146" s="6" t="str">
        <f aca="false">IF(F146="Serious",IF(P146&lt;=O146,"Yes","No"),"N/A")</f>
        <v>N/A</v>
      </c>
      <c r="R146" s="6" t="str">
        <f aca="false">IF(AND(I146="Yes",L146=""),Dashboard!$B$2-K146,"")</f>
        <v/>
      </c>
    </row>
    <row r="147" customFormat="false" ht="15" hidden="false" customHeight="false" outlineLevel="0" collapsed="false">
      <c r="A147" s="6" t="s">
        <v>240</v>
      </c>
      <c r="B147" s="7" t="n">
        <v>45804</v>
      </c>
      <c r="C147" s="6" t="s">
        <v>64</v>
      </c>
      <c r="D147" s="6" t="s">
        <v>69</v>
      </c>
      <c r="E147" s="6" t="s">
        <v>118</v>
      </c>
      <c r="F147" s="6" t="s">
        <v>40</v>
      </c>
      <c r="G147" s="6" t="s">
        <v>53</v>
      </c>
      <c r="H147" s="6" t="s">
        <v>42</v>
      </c>
      <c r="I147" s="6" t="s">
        <v>61</v>
      </c>
      <c r="J147" s="6" t="s">
        <v>76</v>
      </c>
      <c r="K147" s="7" t="n">
        <v>45805</v>
      </c>
      <c r="L147" s="7" t="n">
        <v>45827</v>
      </c>
      <c r="M147" s="6" t="n">
        <f aca="false">IF(AND(K147&lt;&gt;"",L147&lt;&gt;""),L147-K147,"")</f>
        <v>22</v>
      </c>
      <c r="N147" s="7" t="n">
        <v>45825</v>
      </c>
      <c r="O147" s="6" t="n">
        <f aca="false">IF(F147="Serious",15,"N/A")</f>
        <v>15</v>
      </c>
      <c r="P147" s="6" t="n">
        <f aca="false">N147-B147</f>
        <v>21</v>
      </c>
      <c r="Q147" s="6" t="str">
        <f aca="false">IF(F147="Serious",IF(P147&lt;=O147,"Yes","No"),"N/A")</f>
        <v>No</v>
      </c>
      <c r="R147" s="6" t="str">
        <f aca="false">IF(AND(I147="Yes",L147=""),Dashboard!$B$2-K147,"")</f>
        <v/>
      </c>
    </row>
    <row r="148" customFormat="false" ht="15" hidden="false" customHeight="false" outlineLevel="0" collapsed="false">
      <c r="A148" s="6" t="s">
        <v>241</v>
      </c>
      <c r="B148" s="7" t="n">
        <v>46112</v>
      </c>
      <c r="C148" s="6" t="s">
        <v>37</v>
      </c>
      <c r="D148" s="6" t="s">
        <v>50</v>
      </c>
      <c r="E148" s="6" t="s">
        <v>138</v>
      </c>
      <c r="F148" s="6" t="s">
        <v>52</v>
      </c>
      <c r="G148" s="6" t="s">
        <v>59</v>
      </c>
      <c r="H148" s="6" t="s">
        <v>42</v>
      </c>
      <c r="I148" s="6" t="s">
        <v>61</v>
      </c>
      <c r="J148" s="6" t="s">
        <v>89</v>
      </c>
      <c r="K148" s="7" t="n">
        <v>46113</v>
      </c>
      <c r="L148" s="7" t="n">
        <v>46129</v>
      </c>
      <c r="M148" s="6" t="n">
        <f aca="false">IF(AND(K148&lt;&gt;"",L148&lt;&gt;""),L148-K148,"")</f>
        <v>16</v>
      </c>
      <c r="N148" s="7" t="n">
        <v>46141</v>
      </c>
      <c r="O148" s="6" t="str">
        <f aca="false">IF(F148="Serious",15,"N/A")</f>
        <v>N/A</v>
      </c>
      <c r="P148" s="6" t="n">
        <f aca="false">N148-B148</f>
        <v>29</v>
      </c>
      <c r="Q148" s="6" t="str">
        <f aca="false">IF(F148="Serious",IF(P148&lt;=O148,"Yes","No"),"N/A")</f>
        <v>N/A</v>
      </c>
      <c r="R148" s="6" t="str">
        <f aca="false">IF(AND(I148="Yes",L148=""),Dashboard!$B$2-K148,"")</f>
        <v/>
      </c>
    </row>
    <row r="149" customFormat="false" ht="15" hidden="false" customHeight="false" outlineLevel="0" collapsed="false">
      <c r="A149" s="6" t="s">
        <v>242</v>
      </c>
      <c r="B149" s="7" t="n">
        <v>45778</v>
      </c>
      <c r="C149" s="6" t="s">
        <v>73</v>
      </c>
      <c r="D149" s="6" t="s">
        <v>38</v>
      </c>
      <c r="E149" s="6" t="s">
        <v>65</v>
      </c>
      <c r="F149" s="6" t="s">
        <v>40</v>
      </c>
      <c r="G149" s="6" t="s">
        <v>47</v>
      </c>
      <c r="H149" s="6" t="s">
        <v>42</v>
      </c>
      <c r="I149" s="6" t="s">
        <v>43</v>
      </c>
      <c r="J149" s="6"/>
      <c r="K149" s="6"/>
      <c r="L149" s="6"/>
      <c r="M149" s="6" t="str">
        <f aca="false">IF(AND(K149&lt;&gt;"",L149&lt;&gt;""),L149-K149,"")</f>
        <v/>
      </c>
      <c r="N149" s="7" t="n">
        <v>45782</v>
      </c>
      <c r="O149" s="6" t="n">
        <f aca="false">IF(F149="Serious",15,"N/A")</f>
        <v>15</v>
      </c>
      <c r="P149" s="6" t="n">
        <f aca="false">N149-B149</f>
        <v>4</v>
      </c>
      <c r="Q149" s="6" t="str">
        <f aca="false">IF(F149="Serious",IF(P149&lt;=O149,"Yes","No"),"N/A")</f>
        <v>Yes</v>
      </c>
      <c r="R149" s="6" t="str">
        <f aca="false">IF(AND(I149="Yes",L149=""),Dashboard!$B$2-K149,"")</f>
        <v/>
      </c>
    </row>
    <row r="150" customFormat="false" ht="15" hidden="false" customHeight="false" outlineLevel="0" collapsed="false">
      <c r="A150" s="6" t="s">
        <v>243</v>
      </c>
      <c r="B150" s="7" t="n">
        <v>45733</v>
      </c>
      <c r="C150" s="6" t="s">
        <v>49</v>
      </c>
      <c r="D150" s="6" t="s">
        <v>82</v>
      </c>
      <c r="E150" s="6" t="s">
        <v>193</v>
      </c>
      <c r="F150" s="6" t="s">
        <v>52</v>
      </c>
      <c r="G150" s="6" t="s">
        <v>53</v>
      </c>
      <c r="H150" s="6" t="s">
        <v>42</v>
      </c>
      <c r="I150" s="6" t="s">
        <v>43</v>
      </c>
      <c r="J150" s="6"/>
      <c r="K150" s="6"/>
      <c r="L150" s="6"/>
      <c r="M150" s="6" t="str">
        <f aca="false">IF(AND(K150&lt;&gt;"",L150&lt;&gt;""),L150-K150,"")</f>
        <v/>
      </c>
      <c r="N150" s="7" t="n">
        <v>45758</v>
      </c>
      <c r="O150" s="6" t="str">
        <f aca="false">IF(F150="Serious",15,"N/A")</f>
        <v>N/A</v>
      </c>
      <c r="P150" s="6" t="n">
        <f aca="false">N150-B150</f>
        <v>25</v>
      </c>
      <c r="Q150" s="6" t="str">
        <f aca="false">IF(F150="Serious",IF(P150&lt;=O150,"Yes","No"),"N/A")</f>
        <v>N/A</v>
      </c>
      <c r="R150" s="6" t="str">
        <f aca="false">IF(AND(I150="Yes",L150=""),Dashboard!$B$2-K150,"")</f>
        <v/>
      </c>
    </row>
    <row r="151" customFormat="false" ht="15" hidden="false" customHeight="false" outlineLevel="0" collapsed="false">
      <c r="A151" s="6" t="s">
        <v>244</v>
      </c>
      <c r="B151" s="7" t="n">
        <v>46013</v>
      </c>
      <c r="C151" s="6" t="s">
        <v>37</v>
      </c>
      <c r="D151" s="6" t="s">
        <v>85</v>
      </c>
      <c r="E151" s="6" t="s">
        <v>109</v>
      </c>
      <c r="F151" s="6" t="s">
        <v>52</v>
      </c>
      <c r="G151" s="6" t="s">
        <v>88</v>
      </c>
      <c r="H151" s="6" t="s">
        <v>42</v>
      </c>
      <c r="I151" s="6" t="s">
        <v>43</v>
      </c>
      <c r="J151" s="6"/>
      <c r="K151" s="6"/>
      <c r="L151" s="6"/>
      <c r="M151" s="6" t="str">
        <f aca="false">IF(AND(K151&lt;&gt;"",L151&lt;&gt;""),L151-K151,"")</f>
        <v/>
      </c>
      <c r="N151" s="7" t="n">
        <v>46058</v>
      </c>
      <c r="O151" s="6" t="str">
        <f aca="false">IF(F151="Serious",15,"N/A")</f>
        <v>N/A</v>
      </c>
      <c r="P151" s="6" t="n">
        <f aca="false">N151-B151</f>
        <v>45</v>
      </c>
      <c r="Q151" s="6" t="str">
        <f aca="false">IF(F151="Serious",IF(P151&lt;=O151,"Yes","No"),"N/A")</f>
        <v>N/A</v>
      </c>
      <c r="R151" s="6" t="str">
        <f aca="false">IF(AND(I151="Yes",L151=""),Dashboard!$B$2-K151,"")</f>
        <v/>
      </c>
    </row>
    <row r="152" customFormat="false" ht="15" hidden="false" customHeight="false" outlineLevel="0" collapsed="false">
      <c r="A152" s="6" t="s">
        <v>245</v>
      </c>
      <c r="B152" s="7" t="n">
        <v>45836</v>
      </c>
      <c r="C152" s="6" t="s">
        <v>73</v>
      </c>
      <c r="D152" s="6" t="s">
        <v>85</v>
      </c>
      <c r="E152" s="6" t="s">
        <v>86</v>
      </c>
      <c r="F152" s="6" t="s">
        <v>40</v>
      </c>
      <c r="G152" s="6" t="s">
        <v>53</v>
      </c>
      <c r="H152" s="6" t="s">
        <v>60</v>
      </c>
      <c r="I152" s="6" t="s">
        <v>43</v>
      </c>
      <c r="J152" s="6"/>
      <c r="K152" s="6"/>
      <c r="L152" s="6"/>
      <c r="M152" s="6" t="str">
        <f aca="false">IF(AND(K152&lt;&gt;"",L152&lt;&gt;""),L152-K152,"")</f>
        <v/>
      </c>
      <c r="N152" s="7" t="n">
        <v>45846</v>
      </c>
      <c r="O152" s="6" t="n">
        <f aca="false">IF(F152="Serious",15,"N/A")</f>
        <v>15</v>
      </c>
      <c r="P152" s="6" t="n">
        <f aca="false">N152-B152</f>
        <v>10</v>
      </c>
      <c r="Q152" s="6" t="str">
        <f aca="false">IF(F152="Serious",IF(P152&lt;=O152,"Yes","No"),"N/A")</f>
        <v>Yes</v>
      </c>
      <c r="R152" s="6" t="str">
        <f aca="false">IF(AND(I152="Yes",L152=""),Dashboard!$B$2-K152,"")</f>
        <v/>
      </c>
    </row>
    <row r="153" customFormat="false" ht="15" hidden="false" customHeight="false" outlineLevel="0" collapsed="false">
      <c r="A153" s="6" t="s">
        <v>246</v>
      </c>
      <c r="B153" s="7" t="n">
        <v>46035</v>
      </c>
      <c r="C153" s="6" t="s">
        <v>49</v>
      </c>
      <c r="D153" s="6" t="s">
        <v>85</v>
      </c>
      <c r="E153" s="6" t="s">
        <v>86</v>
      </c>
      <c r="F153" s="6" t="s">
        <v>52</v>
      </c>
      <c r="G153" s="6" t="s">
        <v>53</v>
      </c>
      <c r="H153" s="6" t="s">
        <v>60</v>
      </c>
      <c r="I153" s="6" t="s">
        <v>43</v>
      </c>
      <c r="J153" s="6"/>
      <c r="K153" s="6"/>
      <c r="L153" s="6"/>
      <c r="M153" s="6" t="str">
        <f aca="false">IF(AND(K153&lt;&gt;"",L153&lt;&gt;""),L153-K153,"")</f>
        <v/>
      </c>
      <c r="N153" s="7" t="n">
        <v>46086</v>
      </c>
      <c r="O153" s="6" t="str">
        <f aca="false">IF(F153="Serious",15,"N/A")</f>
        <v>N/A</v>
      </c>
      <c r="P153" s="6" t="n">
        <f aca="false">N153-B153</f>
        <v>51</v>
      </c>
      <c r="Q153" s="6" t="str">
        <f aca="false">IF(F153="Serious",IF(P153&lt;=O153,"Yes","No"),"N/A")</f>
        <v>N/A</v>
      </c>
      <c r="R153" s="6" t="str">
        <f aca="false">IF(AND(I153="Yes",L153=""),Dashboard!$B$2-K153,"")</f>
        <v/>
      </c>
    </row>
    <row r="154" customFormat="false" ht="15" hidden="false" customHeight="false" outlineLevel="0" collapsed="false">
      <c r="A154" s="6" t="s">
        <v>247</v>
      </c>
      <c r="B154" s="7" t="n">
        <v>46148</v>
      </c>
      <c r="C154" s="6" t="s">
        <v>64</v>
      </c>
      <c r="D154" s="6" t="s">
        <v>101</v>
      </c>
      <c r="E154" s="6" t="s">
        <v>102</v>
      </c>
      <c r="F154" s="6" t="s">
        <v>52</v>
      </c>
      <c r="G154" s="6" t="s">
        <v>53</v>
      </c>
      <c r="H154" s="6" t="s">
        <v>129</v>
      </c>
      <c r="I154" s="6" t="s">
        <v>43</v>
      </c>
      <c r="J154" s="6"/>
      <c r="K154" s="6"/>
      <c r="L154" s="6"/>
      <c r="M154" s="6" t="str">
        <f aca="false">IF(AND(K154&lt;&gt;"",L154&lt;&gt;""),L154-K154,"")</f>
        <v/>
      </c>
      <c r="N154" s="7" t="n">
        <v>46181</v>
      </c>
      <c r="O154" s="6" t="str">
        <f aca="false">IF(F154="Serious",15,"N/A")</f>
        <v>N/A</v>
      </c>
      <c r="P154" s="6" t="n">
        <f aca="false">N154-B154</f>
        <v>33</v>
      </c>
      <c r="Q154" s="6" t="str">
        <f aca="false">IF(F154="Serious",IF(P154&lt;=O154,"Yes","No"),"N/A")</f>
        <v>N/A</v>
      </c>
      <c r="R154" s="6" t="str">
        <f aca="false">IF(AND(I154="Yes",L154=""),Dashboard!$B$2-K154,"")</f>
        <v/>
      </c>
    </row>
    <row r="155" customFormat="false" ht="15" hidden="false" customHeight="false" outlineLevel="0" collapsed="false">
      <c r="A155" s="6" t="s">
        <v>248</v>
      </c>
      <c r="B155" s="7" t="n">
        <v>46135</v>
      </c>
      <c r="C155" s="6" t="s">
        <v>64</v>
      </c>
      <c r="D155" s="6" t="s">
        <v>249</v>
      </c>
      <c r="E155" s="6" t="s">
        <v>250</v>
      </c>
      <c r="F155" s="6" t="s">
        <v>52</v>
      </c>
      <c r="G155" s="6" t="s">
        <v>41</v>
      </c>
      <c r="H155" s="6" t="s">
        <v>42</v>
      </c>
      <c r="I155" s="6" t="s">
        <v>61</v>
      </c>
      <c r="J155" s="6" t="s">
        <v>98</v>
      </c>
      <c r="K155" s="7" t="n">
        <v>46142</v>
      </c>
      <c r="L155" s="7" t="n">
        <v>46172</v>
      </c>
      <c r="M155" s="6" t="n">
        <f aca="false">IF(AND(K155&lt;&gt;"",L155&lt;&gt;""),L155-K155,"")</f>
        <v>30</v>
      </c>
      <c r="N155" s="7" t="n">
        <v>46193</v>
      </c>
      <c r="O155" s="6" t="str">
        <f aca="false">IF(F155="Serious",15,"N/A")</f>
        <v>N/A</v>
      </c>
      <c r="P155" s="6" t="n">
        <f aca="false">N155-B155</f>
        <v>58</v>
      </c>
      <c r="Q155" s="6" t="str">
        <f aca="false">IF(F155="Serious",IF(P155&lt;=O155,"Yes","No"),"N/A")</f>
        <v>N/A</v>
      </c>
      <c r="R155" s="6" t="str">
        <f aca="false">IF(AND(I155="Yes",L155=""),Dashboard!$B$2-K155,"")</f>
        <v/>
      </c>
    </row>
    <row r="156" customFormat="false" ht="15" hidden="false" customHeight="false" outlineLevel="0" collapsed="false">
      <c r="A156" s="6" t="s">
        <v>251</v>
      </c>
      <c r="B156" s="7" t="n">
        <v>45785</v>
      </c>
      <c r="C156" s="6" t="s">
        <v>64</v>
      </c>
      <c r="D156" s="6" t="s">
        <v>82</v>
      </c>
      <c r="E156" s="6" t="s">
        <v>83</v>
      </c>
      <c r="F156" s="6" t="s">
        <v>40</v>
      </c>
      <c r="G156" s="6" t="s">
        <v>59</v>
      </c>
      <c r="H156" s="6" t="s">
        <v>42</v>
      </c>
      <c r="I156" s="6" t="s">
        <v>61</v>
      </c>
      <c r="J156" s="6" t="s">
        <v>76</v>
      </c>
      <c r="K156" s="7" t="n">
        <v>45790</v>
      </c>
      <c r="L156" s="6"/>
      <c r="M156" s="6" t="str">
        <f aca="false">IF(AND(K156&lt;&gt;"",L156&lt;&gt;""),L156-K156,"")</f>
        <v/>
      </c>
      <c r="N156" s="7" t="n">
        <v>45797</v>
      </c>
      <c r="O156" s="6" t="n">
        <f aca="false">IF(F156="Serious",15,"N/A")</f>
        <v>15</v>
      </c>
      <c r="P156" s="6" t="n">
        <f aca="false">N156-B156</f>
        <v>12</v>
      </c>
      <c r="Q156" s="6" t="str">
        <f aca="false">IF(F156="Serious",IF(P156&lt;=O156,"Yes","No"),"N/A")</f>
        <v>Yes</v>
      </c>
      <c r="R156" s="6" t="n">
        <f aca="false">IF(AND(I156="Yes",L156=""),Dashboard!$B$2-K156,"")</f>
        <v>424</v>
      </c>
    </row>
    <row r="157" customFormat="false" ht="15" hidden="false" customHeight="false" outlineLevel="0" collapsed="false">
      <c r="A157" s="6" t="s">
        <v>252</v>
      </c>
      <c r="B157" s="7" t="n">
        <v>45939</v>
      </c>
      <c r="C157" s="6" t="s">
        <v>56</v>
      </c>
      <c r="D157" s="6" t="s">
        <v>38</v>
      </c>
      <c r="E157" s="6" t="s">
        <v>39</v>
      </c>
      <c r="F157" s="6" t="s">
        <v>52</v>
      </c>
      <c r="G157" s="6" t="s">
        <v>53</v>
      </c>
      <c r="H157" s="6" t="s">
        <v>54</v>
      </c>
      <c r="I157" s="6" t="s">
        <v>61</v>
      </c>
      <c r="J157" s="6" t="s">
        <v>126</v>
      </c>
      <c r="K157" s="7" t="n">
        <v>45949</v>
      </c>
      <c r="L157" s="7" t="n">
        <v>45968</v>
      </c>
      <c r="M157" s="6" t="n">
        <f aca="false">IF(AND(K157&lt;&gt;"",L157&lt;&gt;""),L157-K157,"")</f>
        <v>19</v>
      </c>
      <c r="N157" s="7" t="n">
        <v>45997</v>
      </c>
      <c r="O157" s="6" t="str">
        <f aca="false">IF(F157="Serious",15,"N/A")</f>
        <v>N/A</v>
      </c>
      <c r="P157" s="6" t="n">
        <f aca="false">N157-B157</f>
        <v>58</v>
      </c>
      <c r="Q157" s="6" t="str">
        <f aca="false">IF(F157="Serious",IF(P157&lt;=O157,"Yes","No"),"N/A")</f>
        <v>N/A</v>
      </c>
      <c r="R157" s="6" t="str">
        <f aca="false">IF(AND(I157="Yes",L157=""),Dashboard!$B$2-K157,"")</f>
        <v/>
      </c>
    </row>
    <row r="158" customFormat="false" ht="15" hidden="false" customHeight="false" outlineLevel="0" collapsed="false">
      <c r="A158" s="6" t="s">
        <v>253</v>
      </c>
      <c r="B158" s="7" t="n">
        <v>45700</v>
      </c>
      <c r="C158" s="6" t="s">
        <v>37</v>
      </c>
      <c r="D158" s="6" t="s">
        <v>45</v>
      </c>
      <c r="E158" s="6" t="s">
        <v>46</v>
      </c>
      <c r="F158" s="6" t="s">
        <v>52</v>
      </c>
      <c r="G158" s="6" t="s">
        <v>41</v>
      </c>
      <c r="H158" s="6" t="s">
        <v>60</v>
      </c>
      <c r="I158" s="6" t="s">
        <v>61</v>
      </c>
      <c r="J158" s="6" t="s">
        <v>76</v>
      </c>
      <c r="K158" s="7" t="n">
        <v>45707</v>
      </c>
      <c r="L158" s="7" t="n">
        <v>45711</v>
      </c>
      <c r="M158" s="6" t="n">
        <f aca="false">IF(AND(K158&lt;&gt;"",L158&lt;&gt;""),L158-K158,"")</f>
        <v>4</v>
      </c>
      <c r="N158" s="7" t="n">
        <v>45745</v>
      </c>
      <c r="O158" s="6" t="str">
        <f aca="false">IF(F158="Serious",15,"N/A")</f>
        <v>N/A</v>
      </c>
      <c r="P158" s="6" t="n">
        <f aca="false">N158-B158</f>
        <v>45</v>
      </c>
      <c r="Q158" s="6" t="str">
        <f aca="false">IF(F158="Serious",IF(P158&lt;=O158,"Yes","No"),"N/A")</f>
        <v>N/A</v>
      </c>
      <c r="R158" s="6" t="str">
        <f aca="false">IF(AND(I158="Yes",L158=""),Dashboard!$B$2-K158,"")</f>
        <v/>
      </c>
    </row>
    <row r="159" customFormat="false" ht="15" hidden="false" customHeight="false" outlineLevel="0" collapsed="false">
      <c r="A159" s="6" t="s">
        <v>254</v>
      </c>
      <c r="B159" s="7" t="n">
        <v>45954</v>
      </c>
      <c r="C159" s="6" t="s">
        <v>73</v>
      </c>
      <c r="D159" s="6" t="s">
        <v>69</v>
      </c>
      <c r="E159" s="6" t="s">
        <v>118</v>
      </c>
      <c r="F159" s="6" t="s">
        <v>52</v>
      </c>
      <c r="G159" s="6" t="s">
        <v>66</v>
      </c>
      <c r="H159" s="6" t="s">
        <v>60</v>
      </c>
      <c r="I159" s="6" t="s">
        <v>61</v>
      </c>
      <c r="J159" s="6" t="s">
        <v>89</v>
      </c>
      <c r="K159" s="7" t="n">
        <v>45957</v>
      </c>
      <c r="L159" s="7" t="n">
        <v>45973</v>
      </c>
      <c r="M159" s="6" t="n">
        <f aca="false">IF(AND(K159&lt;&gt;"",L159&lt;&gt;""),L159-K159,"")</f>
        <v>16</v>
      </c>
      <c r="N159" s="7" t="n">
        <v>45972</v>
      </c>
      <c r="O159" s="6" t="str">
        <f aca="false">IF(F159="Serious",15,"N/A")</f>
        <v>N/A</v>
      </c>
      <c r="P159" s="6" t="n">
        <f aca="false">N159-B159</f>
        <v>18</v>
      </c>
      <c r="Q159" s="6" t="str">
        <f aca="false">IF(F159="Serious",IF(P159&lt;=O159,"Yes","No"),"N/A")</f>
        <v>N/A</v>
      </c>
      <c r="R159" s="6" t="str">
        <f aca="false">IF(AND(I159="Yes",L159=""),Dashboard!$B$2-K159,"")</f>
        <v/>
      </c>
    </row>
    <row r="160" customFormat="false" ht="15" hidden="false" customHeight="false" outlineLevel="0" collapsed="false">
      <c r="A160" s="6" t="s">
        <v>255</v>
      </c>
      <c r="B160" s="7" t="n">
        <v>46006</v>
      </c>
      <c r="C160" s="6" t="s">
        <v>64</v>
      </c>
      <c r="D160" s="6" t="s">
        <v>82</v>
      </c>
      <c r="E160" s="6" t="s">
        <v>83</v>
      </c>
      <c r="F160" s="6" t="s">
        <v>52</v>
      </c>
      <c r="G160" s="6" t="s">
        <v>59</v>
      </c>
      <c r="H160" s="6" t="s">
        <v>129</v>
      </c>
      <c r="I160" s="6" t="s">
        <v>61</v>
      </c>
      <c r="J160" s="6" t="s">
        <v>74</v>
      </c>
      <c r="K160" s="7" t="n">
        <v>46009</v>
      </c>
      <c r="L160" s="6"/>
      <c r="M160" s="6" t="str">
        <f aca="false">IF(AND(K160&lt;&gt;"",L160&lt;&gt;""),L160-K160,"")</f>
        <v/>
      </c>
      <c r="N160" s="7" t="n">
        <v>46043</v>
      </c>
      <c r="O160" s="6" t="str">
        <f aca="false">IF(F160="Serious",15,"N/A")</f>
        <v>N/A</v>
      </c>
      <c r="P160" s="6" t="n">
        <f aca="false">N160-B160</f>
        <v>37</v>
      </c>
      <c r="Q160" s="6" t="str">
        <f aca="false">IF(F160="Serious",IF(P160&lt;=O160,"Yes","No"),"N/A")</f>
        <v>N/A</v>
      </c>
      <c r="R160" s="6" t="n">
        <f aca="false">IF(AND(I160="Yes",L160=""),Dashboard!$B$2-K160,"")</f>
        <v>205</v>
      </c>
    </row>
    <row r="161" customFormat="false" ht="15" hidden="false" customHeight="false" outlineLevel="0" collapsed="false">
      <c r="A161" s="6" t="s">
        <v>256</v>
      </c>
      <c r="B161" s="7" t="n">
        <v>45766</v>
      </c>
      <c r="C161" s="6" t="s">
        <v>73</v>
      </c>
      <c r="D161" s="6" t="s">
        <v>57</v>
      </c>
      <c r="E161" s="6" t="s">
        <v>58</v>
      </c>
      <c r="F161" s="6" t="s">
        <v>40</v>
      </c>
      <c r="G161" s="6" t="s">
        <v>59</v>
      </c>
      <c r="H161" s="6" t="s">
        <v>60</v>
      </c>
      <c r="I161" s="6" t="s">
        <v>61</v>
      </c>
      <c r="J161" s="6" t="s">
        <v>74</v>
      </c>
      <c r="K161" s="7" t="n">
        <v>45776</v>
      </c>
      <c r="L161" s="7" t="n">
        <v>45813</v>
      </c>
      <c r="M161" s="6" t="n">
        <f aca="false">IF(AND(K161&lt;&gt;"",L161&lt;&gt;""),L161-K161,"")</f>
        <v>37</v>
      </c>
      <c r="N161" s="7" t="n">
        <v>45795</v>
      </c>
      <c r="O161" s="6" t="n">
        <f aca="false">IF(F161="Serious",15,"N/A")</f>
        <v>15</v>
      </c>
      <c r="P161" s="6" t="n">
        <f aca="false">N161-B161</f>
        <v>29</v>
      </c>
      <c r="Q161" s="6" t="str">
        <f aca="false">IF(F161="Serious",IF(P161&lt;=O161,"Yes","No"),"N/A")</f>
        <v>No</v>
      </c>
      <c r="R161" s="6" t="str">
        <f aca="false">IF(AND(I161="Yes",L161=""),Dashboard!$B$2-K161,"")</f>
        <v/>
      </c>
    </row>
    <row r="162" customFormat="false" ht="15" hidden="false" customHeight="false" outlineLevel="0" collapsed="false">
      <c r="A162" s="6" t="s">
        <v>257</v>
      </c>
      <c r="B162" s="7" t="n">
        <v>45993</v>
      </c>
      <c r="C162" s="6" t="s">
        <v>64</v>
      </c>
      <c r="D162" s="6" t="s">
        <v>249</v>
      </c>
      <c r="E162" s="6" t="s">
        <v>250</v>
      </c>
      <c r="F162" s="6" t="s">
        <v>52</v>
      </c>
      <c r="G162" s="6" t="s">
        <v>59</v>
      </c>
      <c r="H162" s="6" t="s">
        <v>42</v>
      </c>
      <c r="I162" s="6" t="s">
        <v>61</v>
      </c>
      <c r="J162" s="6" t="s">
        <v>62</v>
      </c>
      <c r="K162" s="7" t="n">
        <v>46001</v>
      </c>
      <c r="L162" s="7" t="n">
        <v>46036</v>
      </c>
      <c r="M162" s="6" t="n">
        <f aca="false">IF(AND(K162&lt;&gt;"",L162&lt;&gt;""),L162-K162,"")</f>
        <v>35</v>
      </c>
      <c r="N162" s="7" t="n">
        <v>46030</v>
      </c>
      <c r="O162" s="6" t="str">
        <f aca="false">IF(F162="Serious",15,"N/A")</f>
        <v>N/A</v>
      </c>
      <c r="P162" s="6" t="n">
        <f aca="false">N162-B162</f>
        <v>37</v>
      </c>
      <c r="Q162" s="6" t="str">
        <f aca="false">IF(F162="Serious",IF(P162&lt;=O162,"Yes","No"),"N/A")</f>
        <v>N/A</v>
      </c>
      <c r="R162" s="6" t="str">
        <f aca="false">IF(AND(I162="Yes",L162=""),Dashboard!$B$2-K162,"")</f>
        <v/>
      </c>
    </row>
    <row r="163" customFormat="false" ht="15" hidden="false" customHeight="false" outlineLevel="0" collapsed="false">
      <c r="A163" s="6" t="s">
        <v>258</v>
      </c>
      <c r="B163" s="7" t="n">
        <v>46126</v>
      </c>
      <c r="C163" s="6" t="s">
        <v>56</v>
      </c>
      <c r="D163" s="6" t="s">
        <v>57</v>
      </c>
      <c r="E163" s="6" t="s">
        <v>58</v>
      </c>
      <c r="F163" s="6" t="s">
        <v>40</v>
      </c>
      <c r="G163" s="6" t="s">
        <v>53</v>
      </c>
      <c r="H163" s="6" t="s">
        <v>42</v>
      </c>
      <c r="I163" s="6" t="s">
        <v>43</v>
      </c>
      <c r="J163" s="6"/>
      <c r="K163" s="6"/>
      <c r="L163" s="6"/>
      <c r="M163" s="6" t="str">
        <f aca="false">IF(AND(K163&lt;&gt;"",L163&lt;&gt;""),L163-K163,"")</f>
        <v/>
      </c>
      <c r="N163" s="7" t="n">
        <v>46132</v>
      </c>
      <c r="O163" s="6" t="n">
        <f aca="false">IF(F163="Serious",15,"N/A")</f>
        <v>15</v>
      </c>
      <c r="P163" s="6" t="n">
        <f aca="false">N163-B163</f>
        <v>6</v>
      </c>
      <c r="Q163" s="6" t="str">
        <f aca="false">IF(F163="Serious",IF(P163&lt;=O163,"Yes","No"),"N/A")</f>
        <v>Yes</v>
      </c>
      <c r="R163" s="6" t="str">
        <f aca="false">IF(AND(I163="Yes",L163=""),Dashboard!$B$2-K163,"")</f>
        <v/>
      </c>
    </row>
    <row r="164" customFormat="false" ht="15" hidden="false" customHeight="false" outlineLevel="0" collapsed="false">
      <c r="A164" s="6" t="s">
        <v>259</v>
      </c>
      <c r="B164" s="7" t="n">
        <v>45666</v>
      </c>
      <c r="C164" s="6" t="s">
        <v>37</v>
      </c>
      <c r="D164" s="6" t="s">
        <v>101</v>
      </c>
      <c r="E164" s="6" t="s">
        <v>124</v>
      </c>
      <c r="F164" s="6" t="s">
        <v>52</v>
      </c>
      <c r="G164" s="6" t="s">
        <v>41</v>
      </c>
      <c r="H164" s="6" t="s">
        <v>42</v>
      </c>
      <c r="I164" s="6" t="s">
        <v>61</v>
      </c>
      <c r="J164" s="6" t="s">
        <v>74</v>
      </c>
      <c r="K164" s="7" t="n">
        <v>45667</v>
      </c>
      <c r="L164" s="7" t="n">
        <v>45675</v>
      </c>
      <c r="M164" s="6" t="n">
        <f aca="false">IF(AND(K164&lt;&gt;"",L164&lt;&gt;""),L164-K164,"")</f>
        <v>8</v>
      </c>
      <c r="N164" s="7" t="n">
        <v>45706</v>
      </c>
      <c r="O164" s="6" t="str">
        <f aca="false">IF(F164="Serious",15,"N/A")</f>
        <v>N/A</v>
      </c>
      <c r="P164" s="6" t="n">
        <f aca="false">N164-B164</f>
        <v>40</v>
      </c>
      <c r="Q164" s="6" t="str">
        <f aca="false">IF(F164="Serious",IF(P164&lt;=O164,"Yes","No"),"N/A")</f>
        <v>N/A</v>
      </c>
      <c r="R164" s="6" t="str">
        <f aca="false">IF(AND(I164="Yes",L164=""),Dashboard!$B$2-K164,"")</f>
        <v/>
      </c>
    </row>
    <row r="165" customFormat="false" ht="15" hidden="false" customHeight="false" outlineLevel="0" collapsed="false">
      <c r="A165" s="6" t="s">
        <v>260</v>
      </c>
      <c r="B165" s="7" t="n">
        <v>45953</v>
      </c>
      <c r="C165" s="6" t="s">
        <v>37</v>
      </c>
      <c r="D165" s="6" t="s">
        <v>101</v>
      </c>
      <c r="E165" s="6" t="s">
        <v>132</v>
      </c>
      <c r="F165" s="6" t="s">
        <v>52</v>
      </c>
      <c r="G165" s="6" t="s">
        <v>47</v>
      </c>
      <c r="H165" s="6" t="s">
        <v>54</v>
      </c>
      <c r="I165" s="6" t="s">
        <v>43</v>
      </c>
      <c r="J165" s="6"/>
      <c r="K165" s="6"/>
      <c r="L165" s="6"/>
      <c r="M165" s="6" t="str">
        <f aca="false">IF(AND(K165&lt;&gt;"",L165&lt;&gt;""),L165-K165,"")</f>
        <v/>
      </c>
      <c r="N165" s="7" t="n">
        <v>45997</v>
      </c>
      <c r="O165" s="6" t="str">
        <f aca="false">IF(F165="Serious",15,"N/A")</f>
        <v>N/A</v>
      </c>
      <c r="P165" s="6" t="n">
        <f aca="false">N165-B165</f>
        <v>44</v>
      </c>
      <c r="Q165" s="6" t="str">
        <f aca="false">IF(F165="Serious",IF(P165&lt;=O165,"Yes","No"),"N/A")</f>
        <v>N/A</v>
      </c>
      <c r="R165" s="6" t="str">
        <f aca="false">IF(AND(I165="Yes",L165=""),Dashboard!$B$2-K165,"")</f>
        <v/>
      </c>
    </row>
    <row r="166" customFormat="false" ht="15" hidden="false" customHeight="false" outlineLevel="0" collapsed="false">
      <c r="A166" s="6" t="s">
        <v>261</v>
      </c>
      <c r="B166" s="7" t="n">
        <v>45779</v>
      </c>
      <c r="C166" s="6" t="s">
        <v>56</v>
      </c>
      <c r="D166" s="6" t="s">
        <v>45</v>
      </c>
      <c r="E166" s="6" t="s">
        <v>167</v>
      </c>
      <c r="F166" s="6" t="s">
        <v>52</v>
      </c>
      <c r="G166" s="6" t="s">
        <v>121</v>
      </c>
      <c r="H166" s="6" t="s">
        <v>42</v>
      </c>
      <c r="I166" s="6" t="s">
        <v>61</v>
      </c>
      <c r="J166" s="6" t="s">
        <v>98</v>
      </c>
      <c r="K166" s="7" t="n">
        <v>45783</v>
      </c>
      <c r="L166" s="7" t="n">
        <v>45796</v>
      </c>
      <c r="M166" s="6" t="n">
        <f aca="false">IF(AND(K166&lt;&gt;"",L166&lt;&gt;""),L166-K166,"")</f>
        <v>13</v>
      </c>
      <c r="N166" s="7" t="n">
        <v>45786</v>
      </c>
      <c r="O166" s="6" t="str">
        <f aca="false">IF(F166="Serious",15,"N/A")</f>
        <v>N/A</v>
      </c>
      <c r="P166" s="6" t="n">
        <f aca="false">N166-B166</f>
        <v>7</v>
      </c>
      <c r="Q166" s="6" t="str">
        <f aca="false">IF(F166="Serious",IF(P166&lt;=O166,"Yes","No"),"N/A")</f>
        <v>N/A</v>
      </c>
      <c r="R166" s="6" t="str">
        <f aca="false">IF(AND(I166="Yes",L166=""),Dashboard!$B$2-K166,"")</f>
        <v/>
      </c>
    </row>
    <row r="167" customFormat="false" ht="15" hidden="false" customHeight="false" outlineLevel="0" collapsed="false">
      <c r="A167" s="6" t="s">
        <v>262</v>
      </c>
      <c r="B167" s="7" t="n">
        <v>45704</v>
      </c>
      <c r="C167" s="6" t="s">
        <v>37</v>
      </c>
      <c r="D167" s="6" t="s">
        <v>82</v>
      </c>
      <c r="E167" s="6" t="s">
        <v>193</v>
      </c>
      <c r="F167" s="6" t="s">
        <v>52</v>
      </c>
      <c r="G167" s="6" t="s">
        <v>59</v>
      </c>
      <c r="H167" s="6" t="s">
        <v>42</v>
      </c>
      <c r="I167" s="6" t="s">
        <v>43</v>
      </c>
      <c r="J167" s="6"/>
      <c r="K167" s="6"/>
      <c r="L167" s="6"/>
      <c r="M167" s="6" t="str">
        <f aca="false">IF(AND(K167&lt;&gt;"",L167&lt;&gt;""),L167-K167,"")</f>
        <v/>
      </c>
      <c r="N167" s="7" t="n">
        <v>45741</v>
      </c>
      <c r="O167" s="6" t="str">
        <f aca="false">IF(F167="Serious",15,"N/A")</f>
        <v>N/A</v>
      </c>
      <c r="P167" s="6" t="n">
        <f aca="false">N167-B167</f>
        <v>37</v>
      </c>
      <c r="Q167" s="6" t="str">
        <f aca="false">IF(F167="Serious",IF(P167&lt;=O167,"Yes","No"),"N/A")</f>
        <v>N/A</v>
      </c>
      <c r="R167" s="6" t="str">
        <f aca="false">IF(AND(I167="Yes",L167=""),Dashboard!$B$2-K167,"")</f>
        <v/>
      </c>
    </row>
    <row r="168" customFormat="false" ht="15" hidden="false" customHeight="false" outlineLevel="0" collapsed="false">
      <c r="A168" s="6" t="s">
        <v>263</v>
      </c>
      <c r="B168" s="7" t="n">
        <v>45801</v>
      </c>
      <c r="C168" s="6" t="s">
        <v>73</v>
      </c>
      <c r="D168" s="6" t="s">
        <v>50</v>
      </c>
      <c r="E168" s="6" t="s">
        <v>51</v>
      </c>
      <c r="F168" s="6" t="s">
        <v>40</v>
      </c>
      <c r="G168" s="6" t="s">
        <v>121</v>
      </c>
      <c r="H168" s="6" t="s">
        <v>42</v>
      </c>
      <c r="I168" s="6" t="s">
        <v>61</v>
      </c>
      <c r="J168" s="6" t="s">
        <v>62</v>
      </c>
      <c r="K168" s="7" t="n">
        <v>45810</v>
      </c>
      <c r="L168" s="6"/>
      <c r="M168" s="6" t="str">
        <f aca="false">IF(AND(K168&lt;&gt;"",L168&lt;&gt;""),L168-K168,"")</f>
        <v/>
      </c>
      <c r="N168" s="7" t="n">
        <v>45814</v>
      </c>
      <c r="O168" s="6" t="n">
        <f aca="false">IF(F168="Serious",15,"N/A")</f>
        <v>15</v>
      </c>
      <c r="P168" s="6" t="n">
        <f aca="false">N168-B168</f>
        <v>13</v>
      </c>
      <c r="Q168" s="6" t="str">
        <f aca="false">IF(F168="Serious",IF(P168&lt;=O168,"Yes","No"),"N/A")</f>
        <v>Yes</v>
      </c>
      <c r="R168" s="6" t="n">
        <f aca="false">IF(AND(I168="Yes",L168=""),Dashboard!$B$2-K168,"")</f>
        <v>404</v>
      </c>
    </row>
    <row r="169" customFormat="false" ht="15" hidden="false" customHeight="false" outlineLevel="0" collapsed="false">
      <c r="A169" s="6" t="s">
        <v>264</v>
      </c>
      <c r="B169" s="7" t="n">
        <v>45964</v>
      </c>
      <c r="C169" s="6" t="s">
        <v>49</v>
      </c>
      <c r="D169" s="6" t="s">
        <v>79</v>
      </c>
      <c r="E169" s="6" t="s">
        <v>112</v>
      </c>
      <c r="F169" s="6" t="s">
        <v>52</v>
      </c>
      <c r="G169" s="6" t="s">
        <v>53</v>
      </c>
      <c r="H169" s="6" t="s">
        <v>60</v>
      </c>
      <c r="I169" s="6" t="s">
        <v>61</v>
      </c>
      <c r="J169" s="6" t="s">
        <v>126</v>
      </c>
      <c r="K169" s="7" t="n">
        <v>45965</v>
      </c>
      <c r="L169" s="7" t="n">
        <v>45975</v>
      </c>
      <c r="M169" s="6" t="n">
        <f aca="false">IF(AND(K169&lt;&gt;"",L169&lt;&gt;""),L169-K169,"")</f>
        <v>10</v>
      </c>
      <c r="N169" s="7" t="n">
        <v>46010</v>
      </c>
      <c r="O169" s="6" t="str">
        <f aca="false">IF(F169="Serious",15,"N/A")</f>
        <v>N/A</v>
      </c>
      <c r="P169" s="6" t="n">
        <f aca="false">N169-B169</f>
        <v>46</v>
      </c>
      <c r="Q169" s="6" t="str">
        <f aca="false">IF(F169="Serious",IF(P169&lt;=O169,"Yes","No"),"N/A")</f>
        <v>N/A</v>
      </c>
      <c r="R169" s="6" t="str">
        <f aca="false">IF(AND(I169="Yes",L169=""),Dashboard!$B$2-K169,"")</f>
        <v/>
      </c>
    </row>
    <row r="170" customFormat="false" ht="15" hidden="false" customHeight="false" outlineLevel="0" collapsed="false">
      <c r="A170" s="6" t="s">
        <v>265</v>
      </c>
      <c r="B170" s="7" t="n">
        <v>45891</v>
      </c>
      <c r="C170" s="6" t="s">
        <v>37</v>
      </c>
      <c r="D170" s="6" t="s">
        <v>50</v>
      </c>
      <c r="E170" s="6" t="s">
        <v>51</v>
      </c>
      <c r="F170" s="6" t="s">
        <v>40</v>
      </c>
      <c r="G170" s="6" t="s">
        <v>66</v>
      </c>
      <c r="H170" s="6" t="s">
        <v>42</v>
      </c>
      <c r="I170" s="6" t="s">
        <v>43</v>
      </c>
      <c r="J170" s="6"/>
      <c r="K170" s="6"/>
      <c r="L170" s="6"/>
      <c r="M170" s="6" t="str">
        <f aca="false">IF(AND(K170&lt;&gt;"",L170&lt;&gt;""),L170-K170,"")</f>
        <v/>
      </c>
      <c r="N170" s="7" t="n">
        <v>45903</v>
      </c>
      <c r="O170" s="6" t="n">
        <f aca="false">IF(F170="Serious",15,"N/A")</f>
        <v>15</v>
      </c>
      <c r="P170" s="6" t="n">
        <f aca="false">N170-B170</f>
        <v>12</v>
      </c>
      <c r="Q170" s="6" t="str">
        <f aca="false">IF(F170="Serious",IF(P170&lt;=O170,"Yes","No"),"N/A")</f>
        <v>Yes</v>
      </c>
      <c r="R170" s="6" t="str">
        <f aca="false">IF(AND(I170="Yes",L170=""),Dashboard!$B$2-K170,"")</f>
        <v/>
      </c>
    </row>
    <row r="171" customFormat="false" ht="15" hidden="false" customHeight="false" outlineLevel="0" collapsed="false">
      <c r="A171" s="6" t="s">
        <v>266</v>
      </c>
      <c r="B171" s="7" t="n">
        <v>45906</v>
      </c>
      <c r="C171" s="6" t="s">
        <v>37</v>
      </c>
      <c r="D171" s="6" t="s">
        <v>50</v>
      </c>
      <c r="E171" s="6" t="s">
        <v>138</v>
      </c>
      <c r="F171" s="6" t="s">
        <v>40</v>
      </c>
      <c r="G171" s="6" t="s">
        <v>59</v>
      </c>
      <c r="H171" s="6" t="s">
        <v>60</v>
      </c>
      <c r="I171" s="6" t="s">
        <v>61</v>
      </c>
      <c r="J171" s="6" t="s">
        <v>98</v>
      </c>
      <c r="K171" s="7" t="n">
        <v>45913</v>
      </c>
      <c r="L171" s="7" t="n">
        <v>45932</v>
      </c>
      <c r="M171" s="6" t="n">
        <f aca="false">IF(AND(K171&lt;&gt;"",L171&lt;&gt;""),L171-K171,"")</f>
        <v>19</v>
      </c>
      <c r="N171" s="7" t="n">
        <v>45919</v>
      </c>
      <c r="O171" s="6" t="n">
        <f aca="false">IF(F171="Serious",15,"N/A")</f>
        <v>15</v>
      </c>
      <c r="P171" s="6" t="n">
        <f aca="false">N171-B171</f>
        <v>13</v>
      </c>
      <c r="Q171" s="6" t="str">
        <f aca="false">IF(F171="Serious",IF(P171&lt;=O171,"Yes","No"),"N/A")</f>
        <v>Yes</v>
      </c>
      <c r="R171" s="6" t="str">
        <f aca="false">IF(AND(I171="Yes",L171=""),Dashboard!$B$2-K171,"")</f>
        <v/>
      </c>
    </row>
    <row r="172" customFormat="false" ht="15" hidden="false" customHeight="false" outlineLevel="0" collapsed="false">
      <c r="A172" s="6" t="s">
        <v>267</v>
      </c>
      <c r="B172" s="7" t="n">
        <v>45721</v>
      </c>
      <c r="C172" s="6" t="s">
        <v>56</v>
      </c>
      <c r="D172" s="6" t="s">
        <v>85</v>
      </c>
      <c r="E172" s="6" t="s">
        <v>86</v>
      </c>
      <c r="F172" s="6" t="s">
        <v>52</v>
      </c>
      <c r="G172" s="6" t="s">
        <v>121</v>
      </c>
      <c r="H172" s="6" t="s">
        <v>42</v>
      </c>
      <c r="I172" s="6" t="s">
        <v>61</v>
      </c>
      <c r="J172" s="6" t="s">
        <v>98</v>
      </c>
      <c r="K172" s="7" t="n">
        <v>45729</v>
      </c>
      <c r="L172" s="6"/>
      <c r="M172" s="6" t="str">
        <f aca="false">IF(AND(K172&lt;&gt;"",L172&lt;&gt;""),L172-K172,"")</f>
        <v/>
      </c>
      <c r="N172" s="7" t="n">
        <v>45747</v>
      </c>
      <c r="O172" s="6" t="str">
        <f aca="false">IF(F172="Serious",15,"N/A")</f>
        <v>N/A</v>
      </c>
      <c r="P172" s="6" t="n">
        <f aca="false">N172-B172</f>
        <v>26</v>
      </c>
      <c r="Q172" s="6" t="str">
        <f aca="false">IF(F172="Serious",IF(P172&lt;=O172,"Yes","No"),"N/A")</f>
        <v>N/A</v>
      </c>
      <c r="R172" s="6" t="n">
        <f aca="false">IF(AND(I172="Yes",L172=""),Dashboard!$B$2-K172,"")</f>
        <v>485</v>
      </c>
    </row>
    <row r="173" customFormat="false" ht="15" hidden="false" customHeight="false" outlineLevel="0" collapsed="false">
      <c r="A173" s="6" t="s">
        <v>268</v>
      </c>
      <c r="B173" s="7" t="n">
        <v>46020</v>
      </c>
      <c r="C173" s="6" t="s">
        <v>73</v>
      </c>
      <c r="D173" s="6" t="s">
        <v>50</v>
      </c>
      <c r="E173" s="6" t="s">
        <v>51</v>
      </c>
      <c r="F173" s="6" t="s">
        <v>40</v>
      </c>
      <c r="G173" s="6" t="s">
        <v>53</v>
      </c>
      <c r="H173" s="6" t="s">
        <v>42</v>
      </c>
      <c r="I173" s="6" t="s">
        <v>61</v>
      </c>
      <c r="J173" s="6" t="s">
        <v>62</v>
      </c>
      <c r="K173" s="7" t="n">
        <v>46025</v>
      </c>
      <c r="L173" s="7" t="n">
        <v>46047</v>
      </c>
      <c r="M173" s="6" t="n">
        <f aca="false">IF(AND(K173&lt;&gt;"",L173&lt;&gt;""),L173-K173,"")</f>
        <v>22</v>
      </c>
      <c r="N173" s="7" t="n">
        <v>46029</v>
      </c>
      <c r="O173" s="6" t="n">
        <f aca="false">IF(F173="Serious",15,"N/A")</f>
        <v>15</v>
      </c>
      <c r="P173" s="6" t="n">
        <f aca="false">N173-B173</f>
        <v>9</v>
      </c>
      <c r="Q173" s="6" t="str">
        <f aca="false">IF(F173="Serious",IF(P173&lt;=O173,"Yes","No"),"N/A")</f>
        <v>Yes</v>
      </c>
      <c r="R173" s="6" t="str">
        <f aca="false">IF(AND(I173="Yes",L173=""),Dashboard!$B$2-K173,"")</f>
        <v/>
      </c>
    </row>
    <row r="174" customFormat="false" ht="15" hidden="false" customHeight="false" outlineLevel="0" collapsed="false">
      <c r="A174" s="6" t="s">
        <v>269</v>
      </c>
      <c r="B174" s="7" t="n">
        <v>46015</v>
      </c>
      <c r="C174" s="6" t="s">
        <v>64</v>
      </c>
      <c r="D174" s="6" t="s">
        <v>38</v>
      </c>
      <c r="E174" s="6" t="s">
        <v>65</v>
      </c>
      <c r="F174" s="6" t="s">
        <v>40</v>
      </c>
      <c r="G174" s="6" t="s">
        <v>66</v>
      </c>
      <c r="H174" s="6" t="s">
        <v>60</v>
      </c>
      <c r="I174" s="6" t="s">
        <v>43</v>
      </c>
      <c r="J174" s="6"/>
      <c r="K174" s="6"/>
      <c r="L174" s="6"/>
      <c r="M174" s="6" t="str">
        <f aca="false">IF(AND(K174&lt;&gt;"",L174&lt;&gt;""),L174-K174,"")</f>
        <v/>
      </c>
      <c r="N174" s="7" t="n">
        <v>46029</v>
      </c>
      <c r="O174" s="6" t="n">
        <f aca="false">IF(F174="Serious",15,"N/A")</f>
        <v>15</v>
      </c>
      <c r="P174" s="6" t="n">
        <f aca="false">N174-B174</f>
        <v>14</v>
      </c>
      <c r="Q174" s="6" t="str">
        <f aca="false">IF(F174="Serious",IF(P174&lt;=O174,"Yes","No"),"N/A")</f>
        <v>Yes</v>
      </c>
      <c r="R174" s="6" t="str">
        <f aca="false">IF(AND(I174="Yes",L174=""),Dashboard!$B$2-K174,"")</f>
        <v/>
      </c>
    </row>
    <row r="175" customFormat="false" ht="15" hidden="false" customHeight="false" outlineLevel="0" collapsed="false">
      <c r="A175" s="6" t="s">
        <v>270</v>
      </c>
      <c r="B175" s="7" t="n">
        <v>45807</v>
      </c>
      <c r="C175" s="6" t="s">
        <v>73</v>
      </c>
      <c r="D175" s="6" t="s">
        <v>79</v>
      </c>
      <c r="E175" s="6" t="s">
        <v>112</v>
      </c>
      <c r="F175" s="6" t="s">
        <v>52</v>
      </c>
      <c r="G175" s="6" t="s">
        <v>53</v>
      </c>
      <c r="H175" s="6" t="s">
        <v>54</v>
      </c>
      <c r="I175" s="6" t="s">
        <v>43</v>
      </c>
      <c r="J175" s="6"/>
      <c r="K175" s="6"/>
      <c r="L175" s="6"/>
      <c r="M175" s="6" t="str">
        <f aca="false">IF(AND(K175&lt;&gt;"",L175&lt;&gt;""),L175-K175,"")</f>
        <v/>
      </c>
      <c r="N175" s="7" t="n">
        <v>45859</v>
      </c>
      <c r="O175" s="6" t="str">
        <f aca="false">IF(F175="Serious",15,"N/A")</f>
        <v>N/A</v>
      </c>
      <c r="P175" s="6" t="n">
        <f aca="false">N175-B175</f>
        <v>52</v>
      </c>
      <c r="Q175" s="6" t="str">
        <f aca="false">IF(F175="Serious",IF(P175&lt;=O175,"Yes","No"),"N/A")</f>
        <v>N/A</v>
      </c>
      <c r="R175" s="6" t="str">
        <f aca="false">IF(AND(I175="Yes",L175=""),Dashboard!$B$2-K175,"")</f>
        <v/>
      </c>
    </row>
    <row r="176" customFormat="false" ht="15" hidden="false" customHeight="false" outlineLevel="0" collapsed="false">
      <c r="A176" s="6" t="s">
        <v>271</v>
      </c>
      <c r="B176" s="7" t="n">
        <v>46148</v>
      </c>
      <c r="C176" s="6" t="s">
        <v>56</v>
      </c>
      <c r="D176" s="6" t="s">
        <v>57</v>
      </c>
      <c r="E176" s="6" t="s">
        <v>58</v>
      </c>
      <c r="F176" s="6" t="s">
        <v>52</v>
      </c>
      <c r="G176" s="6" t="s">
        <v>66</v>
      </c>
      <c r="H176" s="6" t="s">
        <v>60</v>
      </c>
      <c r="I176" s="6" t="s">
        <v>43</v>
      </c>
      <c r="J176" s="6"/>
      <c r="K176" s="6"/>
      <c r="L176" s="6"/>
      <c r="M176" s="6" t="str">
        <f aca="false">IF(AND(K176&lt;&gt;"",L176&lt;&gt;""),L176-K176,"")</f>
        <v/>
      </c>
      <c r="N176" s="7" t="n">
        <v>46190</v>
      </c>
      <c r="O176" s="6" t="str">
        <f aca="false">IF(F176="Serious",15,"N/A")</f>
        <v>N/A</v>
      </c>
      <c r="P176" s="6" t="n">
        <f aca="false">N176-B176</f>
        <v>42</v>
      </c>
      <c r="Q176" s="6" t="str">
        <f aca="false">IF(F176="Serious",IF(P176&lt;=O176,"Yes","No"),"N/A")</f>
        <v>N/A</v>
      </c>
      <c r="R176" s="6" t="str">
        <f aca="false">IF(AND(I176="Yes",L176=""),Dashboard!$B$2-K176,"")</f>
        <v/>
      </c>
    </row>
    <row r="177" customFormat="false" ht="15" hidden="false" customHeight="false" outlineLevel="0" collapsed="false">
      <c r="A177" s="6" t="s">
        <v>272</v>
      </c>
      <c r="B177" s="7" t="n">
        <v>45903</v>
      </c>
      <c r="C177" s="6" t="s">
        <v>56</v>
      </c>
      <c r="D177" s="6" t="s">
        <v>79</v>
      </c>
      <c r="E177" s="6" t="s">
        <v>143</v>
      </c>
      <c r="F177" s="6" t="s">
        <v>52</v>
      </c>
      <c r="G177" s="6" t="s">
        <v>53</v>
      </c>
      <c r="H177" s="6" t="s">
        <v>60</v>
      </c>
      <c r="I177" s="6" t="s">
        <v>43</v>
      </c>
      <c r="J177" s="6"/>
      <c r="K177" s="6"/>
      <c r="L177" s="6"/>
      <c r="M177" s="6" t="str">
        <f aca="false">IF(AND(K177&lt;&gt;"",L177&lt;&gt;""),L177-K177,"")</f>
        <v/>
      </c>
      <c r="N177" s="7" t="n">
        <v>45914</v>
      </c>
      <c r="O177" s="6" t="str">
        <f aca="false">IF(F177="Serious",15,"N/A")</f>
        <v>N/A</v>
      </c>
      <c r="P177" s="6" t="n">
        <f aca="false">N177-B177</f>
        <v>11</v>
      </c>
      <c r="Q177" s="6" t="str">
        <f aca="false">IF(F177="Serious",IF(P177&lt;=O177,"Yes","No"),"N/A")</f>
        <v>N/A</v>
      </c>
      <c r="R177" s="6" t="str">
        <f aca="false">IF(AND(I177="Yes",L177=""),Dashboard!$B$2-K177,"")</f>
        <v/>
      </c>
    </row>
    <row r="178" customFormat="false" ht="15" hidden="false" customHeight="false" outlineLevel="0" collapsed="false">
      <c r="A178" s="6" t="s">
        <v>273</v>
      </c>
      <c r="B178" s="7" t="n">
        <v>45798</v>
      </c>
      <c r="C178" s="6" t="s">
        <v>37</v>
      </c>
      <c r="D178" s="6" t="s">
        <v>85</v>
      </c>
      <c r="E178" s="6" t="s">
        <v>86</v>
      </c>
      <c r="F178" s="6" t="s">
        <v>52</v>
      </c>
      <c r="G178" s="6" t="s">
        <v>71</v>
      </c>
      <c r="H178" s="6" t="s">
        <v>54</v>
      </c>
      <c r="I178" s="6" t="s">
        <v>61</v>
      </c>
      <c r="J178" s="6" t="s">
        <v>98</v>
      </c>
      <c r="K178" s="7" t="n">
        <v>45803</v>
      </c>
      <c r="L178" s="7" t="n">
        <v>45823</v>
      </c>
      <c r="M178" s="6" t="n">
        <f aca="false">IF(AND(K178&lt;&gt;"",L178&lt;&gt;""),L178-K178,"")</f>
        <v>20</v>
      </c>
      <c r="N178" s="7" t="n">
        <v>45852</v>
      </c>
      <c r="O178" s="6" t="str">
        <f aca="false">IF(F178="Serious",15,"N/A")</f>
        <v>N/A</v>
      </c>
      <c r="P178" s="6" t="n">
        <f aca="false">N178-B178</f>
        <v>54</v>
      </c>
      <c r="Q178" s="6" t="str">
        <f aca="false">IF(F178="Serious",IF(P178&lt;=O178,"Yes","No"),"N/A")</f>
        <v>N/A</v>
      </c>
      <c r="R178" s="6" t="str">
        <f aca="false">IF(AND(I178="Yes",L178=""),Dashboard!$B$2-K178,"")</f>
        <v/>
      </c>
    </row>
    <row r="179" customFormat="false" ht="15" hidden="false" customHeight="false" outlineLevel="0" collapsed="false">
      <c r="A179" s="6" t="s">
        <v>274</v>
      </c>
      <c r="B179" s="7" t="n">
        <v>45749</v>
      </c>
      <c r="C179" s="6" t="s">
        <v>64</v>
      </c>
      <c r="D179" s="6" t="s">
        <v>57</v>
      </c>
      <c r="E179" s="6" t="s">
        <v>94</v>
      </c>
      <c r="F179" s="6" t="s">
        <v>52</v>
      </c>
      <c r="G179" s="6" t="s">
        <v>53</v>
      </c>
      <c r="H179" s="6" t="s">
        <v>54</v>
      </c>
      <c r="I179" s="6" t="s">
        <v>61</v>
      </c>
      <c r="J179" s="6" t="s">
        <v>89</v>
      </c>
      <c r="K179" s="7" t="n">
        <v>45756</v>
      </c>
      <c r="L179" s="6"/>
      <c r="M179" s="6" t="str">
        <f aca="false">IF(AND(K179&lt;&gt;"",L179&lt;&gt;""),L179-K179,"")</f>
        <v/>
      </c>
      <c r="N179" s="7" t="n">
        <v>45765</v>
      </c>
      <c r="O179" s="6" t="str">
        <f aca="false">IF(F179="Serious",15,"N/A")</f>
        <v>N/A</v>
      </c>
      <c r="P179" s="6" t="n">
        <f aca="false">N179-B179</f>
        <v>16</v>
      </c>
      <c r="Q179" s="6" t="str">
        <f aca="false">IF(F179="Serious",IF(P179&lt;=O179,"Yes","No"),"N/A")</f>
        <v>N/A</v>
      </c>
      <c r="R179" s="6" t="n">
        <f aca="false">IF(AND(I179="Yes",L179=""),Dashboard!$B$2-K179,"")</f>
        <v>458</v>
      </c>
    </row>
    <row r="180" customFormat="false" ht="15" hidden="false" customHeight="false" outlineLevel="0" collapsed="false">
      <c r="A180" s="6" t="s">
        <v>275</v>
      </c>
      <c r="B180" s="7" t="n">
        <v>45954</v>
      </c>
      <c r="C180" s="6" t="s">
        <v>37</v>
      </c>
      <c r="D180" s="6" t="s">
        <v>79</v>
      </c>
      <c r="E180" s="6" t="s">
        <v>112</v>
      </c>
      <c r="F180" s="6" t="s">
        <v>52</v>
      </c>
      <c r="G180" s="6" t="s">
        <v>53</v>
      </c>
      <c r="H180" s="6" t="s">
        <v>129</v>
      </c>
      <c r="I180" s="6" t="s">
        <v>61</v>
      </c>
      <c r="J180" s="6" t="s">
        <v>126</v>
      </c>
      <c r="K180" s="7" t="n">
        <v>45963</v>
      </c>
      <c r="L180" s="7" t="n">
        <v>45994</v>
      </c>
      <c r="M180" s="6" t="n">
        <f aca="false">IF(AND(K180&lt;&gt;"",L180&lt;&gt;""),L180-K180,"")</f>
        <v>31</v>
      </c>
      <c r="N180" s="7" t="n">
        <v>45967</v>
      </c>
      <c r="O180" s="6" t="str">
        <f aca="false">IF(F180="Serious",15,"N/A")</f>
        <v>N/A</v>
      </c>
      <c r="P180" s="6" t="n">
        <f aca="false">N180-B180</f>
        <v>13</v>
      </c>
      <c r="Q180" s="6" t="str">
        <f aca="false">IF(F180="Serious",IF(P180&lt;=O180,"Yes","No"),"N/A")</f>
        <v>N/A</v>
      </c>
      <c r="R180" s="6" t="str">
        <f aca="false">IF(AND(I180="Yes",L180=""),Dashboard!$B$2-K180,"")</f>
        <v/>
      </c>
    </row>
    <row r="181" customFormat="false" ht="15" hidden="false" customHeight="false" outlineLevel="0" collapsed="false">
      <c r="A181" s="6" t="s">
        <v>276</v>
      </c>
      <c r="B181" s="7" t="n">
        <v>46174</v>
      </c>
      <c r="C181" s="6" t="s">
        <v>49</v>
      </c>
      <c r="D181" s="6" t="s">
        <v>38</v>
      </c>
      <c r="E181" s="6" t="s">
        <v>39</v>
      </c>
      <c r="F181" s="6" t="s">
        <v>52</v>
      </c>
      <c r="G181" s="6" t="s">
        <v>59</v>
      </c>
      <c r="H181" s="6" t="s">
        <v>42</v>
      </c>
      <c r="I181" s="6" t="s">
        <v>43</v>
      </c>
      <c r="J181" s="6"/>
      <c r="K181" s="6"/>
      <c r="L181" s="6"/>
      <c r="M181" s="6" t="str">
        <f aca="false">IF(AND(K181&lt;&gt;"",L181&lt;&gt;""),L181-K181,"")</f>
        <v/>
      </c>
      <c r="N181" s="7" t="n">
        <v>46224</v>
      </c>
      <c r="O181" s="6" t="str">
        <f aca="false">IF(F181="Serious",15,"N/A")</f>
        <v>N/A</v>
      </c>
      <c r="P181" s="6" t="n">
        <f aca="false">N181-B181</f>
        <v>50</v>
      </c>
      <c r="Q181" s="6" t="str">
        <f aca="false">IF(F181="Serious",IF(P181&lt;=O181,"Yes","No"),"N/A")</f>
        <v>N/A</v>
      </c>
      <c r="R181" s="6" t="str">
        <f aca="false">IF(AND(I181="Yes",L181=""),Dashboard!$B$2-K181,"")</f>
        <v/>
      </c>
    </row>
    <row r="182" customFormat="false" ht="15" hidden="false" customHeight="false" outlineLevel="0" collapsed="false">
      <c r="A182" s="6" t="s">
        <v>277</v>
      </c>
      <c r="B182" s="7" t="n">
        <v>45848</v>
      </c>
      <c r="C182" s="6" t="s">
        <v>37</v>
      </c>
      <c r="D182" s="6" t="s">
        <v>249</v>
      </c>
      <c r="E182" s="6" t="s">
        <v>278</v>
      </c>
      <c r="F182" s="6" t="s">
        <v>52</v>
      </c>
      <c r="G182" s="6" t="s">
        <v>41</v>
      </c>
      <c r="H182" s="6" t="s">
        <v>60</v>
      </c>
      <c r="I182" s="6" t="s">
        <v>43</v>
      </c>
      <c r="J182" s="6"/>
      <c r="K182" s="6"/>
      <c r="L182" s="6"/>
      <c r="M182" s="6" t="str">
        <f aca="false">IF(AND(K182&lt;&gt;"",L182&lt;&gt;""),L182-K182,"")</f>
        <v/>
      </c>
      <c r="N182" s="7" t="n">
        <v>45878</v>
      </c>
      <c r="O182" s="6" t="str">
        <f aca="false">IF(F182="Serious",15,"N/A")</f>
        <v>N/A</v>
      </c>
      <c r="P182" s="6" t="n">
        <f aca="false">N182-B182</f>
        <v>30</v>
      </c>
      <c r="Q182" s="6" t="str">
        <f aca="false">IF(F182="Serious",IF(P182&lt;=O182,"Yes","No"),"N/A")</f>
        <v>N/A</v>
      </c>
      <c r="R182" s="6" t="str">
        <f aca="false">IF(AND(I182="Yes",L182=""),Dashboard!$B$2-K182,"")</f>
        <v/>
      </c>
    </row>
    <row r="183" customFormat="false" ht="15" hidden="false" customHeight="false" outlineLevel="0" collapsed="false">
      <c r="A183" s="6" t="s">
        <v>279</v>
      </c>
      <c r="B183" s="7" t="n">
        <v>46095</v>
      </c>
      <c r="C183" s="6" t="s">
        <v>64</v>
      </c>
      <c r="D183" s="6" t="s">
        <v>249</v>
      </c>
      <c r="E183" s="6" t="s">
        <v>250</v>
      </c>
      <c r="F183" s="6" t="s">
        <v>52</v>
      </c>
      <c r="G183" s="6" t="s">
        <v>53</v>
      </c>
      <c r="H183" s="6" t="s">
        <v>129</v>
      </c>
      <c r="I183" s="6" t="s">
        <v>61</v>
      </c>
      <c r="J183" s="6" t="s">
        <v>98</v>
      </c>
      <c r="K183" s="7" t="n">
        <v>46096</v>
      </c>
      <c r="L183" s="7" t="n">
        <v>46105</v>
      </c>
      <c r="M183" s="6" t="n">
        <f aca="false">IF(AND(K183&lt;&gt;"",L183&lt;&gt;""),L183-K183,"")</f>
        <v>9</v>
      </c>
      <c r="N183" s="7" t="n">
        <v>46148</v>
      </c>
      <c r="O183" s="6" t="str">
        <f aca="false">IF(F183="Serious",15,"N/A")</f>
        <v>N/A</v>
      </c>
      <c r="P183" s="6" t="n">
        <f aca="false">N183-B183</f>
        <v>53</v>
      </c>
      <c r="Q183" s="6" t="str">
        <f aca="false">IF(F183="Serious",IF(P183&lt;=O183,"Yes","No"),"N/A")</f>
        <v>N/A</v>
      </c>
      <c r="R183" s="6" t="str">
        <f aca="false">IF(AND(I183="Yes",L183=""),Dashboard!$B$2-K183,"")</f>
        <v/>
      </c>
    </row>
    <row r="184" customFormat="false" ht="15" hidden="false" customHeight="false" outlineLevel="0" collapsed="false">
      <c r="A184" s="6" t="s">
        <v>280</v>
      </c>
      <c r="B184" s="7" t="n">
        <v>45931</v>
      </c>
      <c r="C184" s="6" t="s">
        <v>73</v>
      </c>
      <c r="D184" s="6" t="s">
        <v>38</v>
      </c>
      <c r="E184" s="6" t="s">
        <v>39</v>
      </c>
      <c r="F184" s="6" t="s">
        <v>52</v>
      </c>
      <c r="G184" s="6" t="s">
        <v>59</v>
      </c>
      <c r="H184" s="6" t="s">
        <v>60</v>
      </c>
      <c r="I184" s="6" t="s">
        <v>43</v>
      </c>
      <c r="J184" s="6"/>
      <c r="K184" s="6"/>
      <c r="L184" s="6"/>
      <c r="M184" s="6" t="str">
        <f aca="false">IF(AND(K184&lt;&gt;"",L184&lt;&gt;""),L184-K184,"")</f>
        <v/>
      </c>
      <c r="N184" s="7" t="n">
        <v>45965</v>
      </c>
      <c r="O184" s="6" t="str">
        <f aca="false">IF(F184="Serious",15,"N/A")</f>
        <v>N/A</v>
      </c>
      <c r="P184" s="6" t="n">
        <f aca="false">N184-B184</f>
        <v>34</v>
      </c>
      <c r="Q184" s="6" t="str">
        <f aca="false">IF(F184="Serious",IF(P184&lt;=O184,"Yes","No"),"N/A")</f>
        <v>N/A</v>
      </c>
      <c r="R184" s="6" t="str">
        <f aca="false">IF(AND(I184="Yes",L184=""),Dashboard!$B$2-K184,"")</f>
        <v/>
      </c>
    </row>
    <row r="185" customFormat="false" ht="15" hidden="false" customHeight="false" outlineLevel="0" collapsed="false">
      <c r="A185" s="6" t="s">
        <v>281</v>
      </c>
      <c r="B185" s="7" t="n">
        <v>45972</v>
      </c>
      <c r="C185" s="6" t="s">
        <v>56</v>
      </c>
      <c r="D185" s="6" t="s">
        <v>101</v>
      </c>
      <c r="E185" s="6" t="s">
        <v>132</v>
      </c>
      <c r="F185" s="6" t="s">
        <v>52</v>
      </c>
      <c r="G185" s="6" t="s">
        <v>71</v>
      </c>
      <c r="H185" s="6" t="s">
        <v>42</v>
      </c>
      <c r="I185" s="6" t="s">
        <v>61</v>
      </c>
      <c r="J185" s="6" t="s">
        <v>89</v>
      </c>
      <c r="K185" s="7" t="n">
        <v>45977</v>
      </c>
      <c r="L185" s="7" t="n">
        <v>45986</v>
      </c>
      <c r="M185" s="6" t="n">
        <f aca="false">IF(AND(K185&lt;&gt;"",L185&lt;&gt;""),L185-K185,"")</f>
        <v>9</v>
      </c>
      <c r="N185" s="7" t="n">
        <v>45985</v>
      </c>
      <c r="O185" s="6" t="str">
        <f aca="false">IF(F185="Serious",15,"N/A")</f>
        <v>N/A</v>
      </c>
      <c r="P185" s="6" t="n">
        <f aca="false">N185-B185</f>
        <v>13</v>
      </c>
      <c r="Q185" s="6" t="str">
        <f aca="false">IF(F185="Serious",IF(P185&lt;=O185,"Yes","No"),"N/A")</f>
        <v>N/A</v>
      </c>
      <c r="R185" s="6" t="str">
        <f aca="false">IF(AND(I185="Yes",L185=""),Dashboard!$B$2-K185,"")</f>
        <v/>
      </c>
    </row>
    <row r="186" customFormat="false" ht="15" hidden="false" customHeight="false" outlineLevel="0" collapsed="false">
      <c r="A186" s="6" t="s">
        <v>282</v>
      </c>
      <c r="B186" s="7" t="n">
        <v>46147</v>
      </c>
      <c r="C186" s="6" t="s">
        <v>56</v>
      </c>
      <c r="D186" s="6" t="s">
        <v>69</v>
      </c>
      <c r="E186" s="6" t="s">
        <v>70</v>
      </c>
      <c r="F186" s="6" t="s">
        <v>52</v>
      </c>
      <c r="G186" s="6" t="s">
        <v>47</v>
      </c>
      <c r="H186" s="6" t="s">
        <v>42</v>
      </c>
      <c r="I186" s="6" t="s">
        <v>61</v>
      </c>
      <c r="J186" s="6" t="s">
        <v>126</v>
      </c>
      <c r="K186" s="7" t="n">
        <v>46151</v>
      </c>
      <c r="L186" s="6"/>
      <c r="M186" s="6" t="str">
        <f aca="false">IF(AND(K186&lt;&gt;"",L186&lt;&gt;""),L186-K186,"")</f>
        <v/>
      </c>
      <c r="N186" s="7" t="n">
        <v>46195</v>
      </c>
      <c r="O186" s="6" t="str">
        <f aca="false">IF(F186="Serious",15,"N/A")</f>
        <v>N/A</v>
      </c>
      <c r="P186" s="6" t="n">
        <f aca="false">N186-B186</f>
        <v>48</v>
      </c>
      <c r="Q186" s="6" t="str">
        <f aca="false">IF(F186="Serious",IF(P186&lt;=O186,"Yes","No"),"N/A")</f>
        <v>N/A</v>
      </c>
      <c r="R186" s="6" t="n">
        <f aca="false">IF(AND(I186="Yes",L186=""),Dashboard!$B$2-K186,"")</f>
        <v>63</v>
      </c>
    </row>
    <row r="187" customFormat="false" ht="15" hidden="false" customHeight="false" outlineLevel="0" collapsed="false">
      <c r="A187" s="6" t="s">
        <v>283</v>
      </c>
      <c r="B187" s="7" t="n">
        <v>45741</v>
      </c>
      <c r="C187" s="6" t="s">
        <v>64</v>
      </c>
      <c r="D187" s="6" t="s">
        <v>69</v>
      </c>
      <c r="E187" s="6" t="s">
        <v>70</v>
      </c>
      <c r="F187" s="6" t="s">
        <v>40</v>
      </c>
      <c r="G187" s="6" t="s">
        <v>47</v>
      </c>
      <c r="H187" s="6" t="s">
        <v>60</v>
      </c>
      <c r="I187" s="6" t="s">
        <v>61</v>
      </c>
      <c r="J187" s="6" t="s">
        <v>76</v>
      </c>
      <c r="K187" s="7" t="n">
        <v>45745</v>
      </c>
      <c r="L187" s="7" t="n">
        <v>45752</v>
      </c>
      <c r="M187" s="6" t="n">
        <f aca="false">IF(AND(K187&lt;&gt;"",L187&lt;&gt;""),L187-K187,"")</f>
        <v>7</v>
      </c>
      <c r="N187" s="7" t="n">
        <v>45751</v>
      </c>
      <c r="O187" s="6" t="n">
        <f aca="false">IF(F187="Serious",15,"N/A")</f>
        <v>15</v>
      </c>
      <c r="P187" s="6" t="n">
        <f aca="false">N187-B187</f>
        <v>10</v>
      </c>
      <c r="Q187" s="6" t="str">
        <f aca="false">IF(F187="Serious",IF(P187&lt;=O187,"Yes","No"),"N/A")</f>
        <v>Yes</v>
      </c>
      <c r="R187" s="6" t="str">
        <f aca="false">IF(AND(I187="Yes",L187=""),Dashboard!$B$2-K187,"")</f>
        <v/>
      </c>
    </row>
    <row r="188" customFormat="false" ht="15" hidden="false" customHeight="false" outlineLevel="0" collapsed="false">
      <c r="A188" s="6" t="s">
        <v>284</v>
      </c>
      <c r="B188" s="7" t="n">
        <v>46110</v>
      </c>
      <c r="C188" s="6" t="s">
        <v>37</v>
      </c>
      <c r="D188" s="6" t="s">
        <v>57</v>
      </c>
      <c r="E188" s="6" t="s">
        <v>58</v>
      </c>
      <c r="F188" s="6" t="s">
        <v>40</v>
      </c>
      <c r="G188" s="6" t="s">
        <v>47</v>
      </c>
      <c r="H188" s="6" t="s">
        <v>54</v>
      </c>
      <c r="I188" s="6" t="s">
        <v>61</v>
      </c>
      <c r="J188" s="6" t="s">
        <v>76</v>
      </c>
      <c r="K188" s="7" t="n">
        <v>46117</v>
      </c>
      <c r="L188" s="7" t="n">
        <v>46122</v>
      </c>
      <c r="M188" s="6" t="n">
        <f aca="false">IF(AND(K188&lt;&gt;"",L188&lt;&gt;""),L188-K188,"")</f>
        <v>5</v>
      </c>
      <c r="N188" s="7" t="n">
        <v>46124</v>
      </c>
      <c r="O188" s="6" t="n">
        <f aca="false">IF(F188="Serious",15,"N/A")</f>
        <v>15</v>
      </c>
      <c r="P188" s="6" t="n">
        <f aca="false">N188-B188</f>
        <v>14</v>
      </c>
      <c r="Q188" s="6" t="str">
        <f aca="false">IF(F188="Serious",IF(P188&lt;=O188,"Yes","No"),"N/A")</f>
        <v>Yes</v>
      </c>
      <c r="R188" s="6" t="str">
        <f aca="false">IF(AND(I188="Yes",L188=""),Dashboard!$B$2-K188,"")</f>
        <v/>
      </c>
    </row>
    <row r="189" customFormat="false" ht="15" hidden="false" customHeight="false" outlineLevel="0" collapsed="false">
      <c r="A189" s="6" t="s">
        <v>285</v>
      </c>
      <c r="B189" s="7" t="n">
        <v>45973</v>
      </c>
      <c r="C189" s="6" t="s">
        <v>37</v>
      </c>
      <c r="D189" s="6" t="s">
        <v>101</v>
      </c>
      <c r="E189" s="6" t="s">
        <v>102</v>
      </c>
      <c r="F189" s="6" t="s">
        <v>52</v>
      </c>
      <c r="G189" s="6" t="s">
        <v>41</v>
      </c>
      <c r="H189" s="6" t="s">
        <v>42</v>
      </c>
      <c r="I189" s="6" t="s">
        <v>61</v>
      </c>
      <c r="J189" s="6" t="s">
        <v>62</v>
      </c>
      <c r="K189" s="7" t="n">
        <v>45975</v>
      </c>
      <c r="L189" s="7" t="n">
        <v>45980</v>
      </c>
      <c r="M189" s="6" t="n">
        <f aca="false">IF(AND(K189&lt;&gt;"",L189&lt;&gt;""),L189-K189,"")</f>
        <v>5</v>
      </c>
      <c r="N189" s="7" t="n">
        <v>45982</v>
      </c>
      <c r="O189" s="6" t="str">
        <f aca="false">IF(F189="Serious",15,"N/A")</f>
        <v>N/A</v>
      </c>
      <c r="P189" s="6" t="n">
        <f aca="false">N189-B189</f>
        <v>9</v>
      </c>
      <c r="Q189" s="6" t="str">
        <f aca="false">IF(F189="Serious",IF(P189&lt;=O189,"Yes","No"),"N/A")</f>
        <v>N/A</v>
      </c>
      <c r="R189" s="6" t="str">
        <f aca="false">IF(AND(I189="Yes",L189=""),Dashboard!$B$2-K189,"")</f>
        <v/>
      </c>
    </row>
    <row r="190" customFormat="false" ht="15" hidden="false" customHeight="false" outlineLevel="0" collapsed="false">
      <c r="A190" s="6" t="s">
        <v>286</v>
      </c>
      <c r="B190" s="7" t="n">
        <v>46141</v>
      </c>
      <c r="C190" s="6" t="s">
        <v>37</v>
      </c>
      <c r="D190" s="6" t="s">
        <v>38</v>
      </c>
      <c r="E190" s="6" t="s">
        <v>65</v>
      </c>
      <c r="F190" s="6" t="s">
        <v>40</v>
      </c>
      <c r="G190" s="6" t="s">
        <v>53</v>
      </c>
      <c r="H190" s="6" t="s">
        <v>42</v>
      </c>
      <c r="I190" s="6" t="s">
        <v>43</v>
      </c>
      <c r="J190" s="6"/>
      <c r="K190" s="6"/>
      <c r="L190" s="6"/>
      <c r="M190" s="6" t="str">
        <f aca="false">IF(AND(K190&lt;&gt;"",L190&lt;&gt;""),L190-K190,"")</f>
        <v/>
      </c>
      <c r="N190" s="7" t="n">
        <v>46162</v>
      </c>
      <c r="O190" s="6" t="n">
        <f aca="false">IF(F190="Serious",15,"N/A")</f>
        <v>15</v>
      </c>
      <c r="P190" s="6" t="n">
        <f aca="false">N190-B190</f>
        <v>21</v>
      </c>
      <c r="Q190" s="6" t="str">
        <f aca="false">IF(F190="Serious",IF(P190&lt;=O190,"Yes","No"),"N/A")</f>
        <v>No</v>
      </c>
      <c r="R190" s="6" t="str">
        <f aca="false">IF(AND(I190="Yes",L190=""),Dashboard!$B$2-K190,"")</f>
        <v/>
      </c>
    </row>
    <row r="191" customFormat="false" ht="15" hidden="false" customHeight="false" outlineLevel="0" collapsed="false">
      <c r="A191" s="6" t="s">
        <v>287</v>
      </c>
      <c r="B191" s="7" t="n">
        <v>46049</v>
      </c>
      <c r="C191" s="6" t="s">
        <v>49</v>
      </c>
      <c r="D191" s="6" t="s">
        <v>101</v>
      </c>
      <c r="E191" s="6" t="s">
        <v>102</v>
      </c>
      <c r="F191" s="6" t="s">
        <v>40</v>
      </c>
      <c r="G191" s="6" t="s">
        <v>121</v>
      </c>
      <c r="H191" s="6" t="s">
        <v>54</v>
      </c>
      <c r="I191" s="6" t="s">
        <v>61</v>
      </c>
      <c r="J191" s="6" t="s">
        <v>62</v>
      </c>
      <c r="K191" s="7" t="n">
        <v>46051</v>
      </c>
      <c r="L191" s="7" t="n">
        <v>46068</v>
      </c>
      <c r="M191" s="6" t="n">
        <f aca="false">IF(AND(K191&lt;&gt;"",L191&lt;&gt;""),L191-K191,"")</f>
        <v>17</v>
      </c>
      <c r="N191" s="7" t="n">
        <v>46062</v>
      </c>
      <c r="O191" s="6" t="n">
        <f aca="false">IF(F191="Serious",15,"N/A")</f>
        <v>15</v>
      </c>
      <c r="P191" s="6" t="n">
        <f aca="false">N191-B191</f>
        <v>13</v>
      </c>
      <c r="Q191" s="6" t="str">
        <f aca="false">IF(F191="Serious",IF(P191&lt;=O191,"Yes","No"),"N/A")</f>
        <v>Yes</v>
      </c>
      <c r="R191" s="6" t="str">
        <f aca="false">IF(AND(I191="Yes",L191=""),Dashboard!$B$2-K191,"")</f>
        <v/>
      </c>
    </row>
    <row r="192" customFormat="false" ht="15" hidden="false" customHeight="false" outlineLevel="0" collapsed="false">
      <c r="A192" s="6" t="s">
        <v>288</v>
      </c>
      <c r="B192" s="7" t="n">
        <v>45886</v>
      </c>
      <c r="C192" s="6" t="s">
        <v>37</v>
      </c>
      <c r="D192" s="6" t="s">
        <v>79</v>
      </c>
      <c r="E192" s="6" t="s">
        <v>112</v>
      </c>
      <c r="F192" s="6" t="s">
        <v>52</v>
      </c>
      <c r="G192" s="6" t="s">
        <v>66</v>
      </c>
      <c r="H192" s="6" t="s">
        <v>60</v>
      </c>
      <c r="I192" s="6" t="s">
        <v>61</v>
      </c>
      <c r="J192" s="6" t="s">
        <v>98</v>
      </c>
      <c r="K192" s="7" t="n">
        <v>45890</v>
      </c>
      <c r="L192" s="7" t="n">
        <v>45897</v>
      </c>
      <c r="M192" s="6" t="n">
        <f aca="false">IF(AND(K192&lt;&gt;"",L192&lt;&gt;""),L192-K192,"")</f>
        <v>7</v>
      </c>
      <c r="N192" s="7" t="n">
        <v>45903</v>
      </c>
      <c r="O192" s="6" t="str">
        <f aca="false">IF(F192="Serious",15,"N/A")</f>
        <v>N/A</v>
      </c>
      <c r="P192" s="6" t="n">
        <f aca="false">N192-B192</f>
        <v>17</v>
      </c>
      <c r="Q192" s="6" t="str">
        <f aca="false">IF(F192="Serious",IF(P192&lt;=O192,"Yes","No"),"N/A")</f>
        <v>N/A</v>
      </c>
      <c r="R192" s="6" t="str">
        <f aca="false">IF(AND(I192="Yes",L192=""),Dashboard!$B$2-K192,"")</f>
        <v/>
      </c>
    </row>
    <row r="193" customFormat="false" ht="15" hidden="false" customHeight="false" outlineLevel="0" collapsed="false">
      <c r="A193" s="6" t="s">
        <v>289</v>
      </c>
      <c r="B193" s="7" t="n">
        <v>45773</v>
      </c>
      <c r="C193" s="6" t="s">
        <v>37</v>
      </c>
      <c r="D193" s="6" t="s">
        <v>101</v>
      </c>
      <c r="E193" s="6" t="s">
        <v>132</v>
      </c>
      <c r="F193" s="6" t="s">
        <v>52</v>
      </c>
      <c r="G193" s="6" t="s">
        <v>71</v>
      </c>
      <c r="H193" s="6" t="s">
        <v>60</v>
      </c>
      <c r="I193" s="6" t="s">
        <v>61</v>
      </c>
      <c r="J193" s="6" t="s">
        <v>89</v>
      </c>
      <c r="K193" s="7" t="n">
        <v>45783</v>
      </c>
      <c r="L193" s="7" t="n">
        <v>45802</v>
      </c>
      <c r="M193" s="6" t="n">
        <f aca="false">IF(AND(K193&lt;&gt;"",L193&lt;&gt;""),L193-K193,"")</f>
        <v>19</v>
      </c>
      <c r="N193" s="7" t="n">
        <v>45823</v>
      </c>
      <c r="O193" s="6" t="str">
        <f aca="false">IF(F193="Serious",15,"N/A")</f>
        <v>N/A</v>
      </c>
      <c r="P193" s="6" t="n">
        <f aca="false">N193-B193</f>
        <v>50</v>
      </c>
      <c r="Q193" s="6" t="str">
        <f aca="false">IF(F193="Serious",IF(P193&lt;=O193,"Yes","No"),"N/A")</f>
        <v>N/A</v>
      </c>
      <c r="R193" s="6" t="str">
        <f aca="false">IF(AND(I193="Yes",L193=""),Dashboard!$B$2-K193,"")</f>
        <v/>
      </c>
    </row>
    <row r="194" customFormat="false" ht="15" hidden="false" customHeight="false" outlineLevel="0" collapsed="false">
      <c r="A194" s="6" t="s">
        <v>290</v>
      </c>
      <c r="B194" s="7" t="n">
        <v>45707</v>
      </c>
      <c r="C194" s="6" t="s">
        <v>56</v>
      </c>
      <c r="D194" s="6" t="s">
        <v>79</v>
      </c>
      <c r="E194" s="6" t="s">
        <v>223</v>
      </c>
      <c r="F194" s="6" t="s">
        <v>52</v>
      </c>
      <c r="G194" s="6" t="s">
        <v>47</v>
      </c>
      <c r="H194" s="6" t="s">
        <v>42</v>
      </c>
      <c r="I194" s="6" t="s">
        <v>43</v>
      </c>
      <c r="J194" s="6"/>
      <c r="K194" s="6"/>
      <c r="L194" s="6"/>
      <c r="M194" s="6" t="str">
        <f aca="false">IF(AND(K194&lt;&gt;"",L194&lt;&gt;""),L194-K194,"")</f>
        <v/>
      </c>
      <c r="N194" s="7" t="n">
        <v>45720</v>
      </c>
      <c r="O194" s="6" t="str">
        <f aca="false">IF(F194="Serious",15,"N/A")</f>
        <v>N/A</v>
      </c>
      <c r="P194" s="6" t="n">
        <f aca="false">N194-B194</f>
        <v>13</v>
      </c>
      <c r="Q194" s="6" t="str">
        <f aca="false">IF(F194="Serious",IF(P194&lt;=O194,"Yes","No"),"N/A")</f>
        <v>N/A</v>
      </c>
      <c r="R194" s="6" t="str">
        <f aca="false">IF(AND(I194="Yes",L194=""),Dashboard!$B$2-K194,"")</f>
        <v/>
      </c>
    </row>
    <row r="195" customFormat="false" ht="15" hidden="false" customHeight="false" outlineLevel="0" collapsed="false">
      <c r="A195" s="6" t="s">
        <v>291</v>
      </c>
      <c r="B195" s="7" t="n">
        <v>46173</v>
      </c>
      <c r="C195" s="6" t="s">
        <v>73</v>
      </c>
      <c r="D195" s="6" t="s">
        <v>57</v>
      </c>
      <c r="E195" s="6" t="s">
        <v>58</v>
      </c>
      <c r="F195" s="6" t="s">
        <v>52</v>
      </c>
      <c r="G195" s="6" t="s">
        <v>41</v>
      </c>
      <c r="H195" s="6" t="s">
        <v>54</v>
      </c>
      <c r="I195" s="6" t="s">
        <v>61</v>
      </c>
      <c r="J195" s="6" t="s">
        <v>98</v>
      </c>
      <c r="K195" s="7" t="n">
        <v>46182</v>
      </c>
      <c r="L195" s="7" t="n">
        <v>46193</v>
      </c>
      <c r="M195" s="6" t="n">
        <f aca="false">IF(AND(K195&lt;&gt;"",L195&lt;&gt;""),L195-K195,"")</f>
        <v>11</v>
      </c>
      <c r="N195" s="7" t="n">
        <v>46181</v>
      </c>
      <c r="O195" s="6" t="str">
        <f aca="false">IF(F195="Serious",15,"N/A")</f>
        <v>N/A</v>
      </c>
      <c r="P195" s="6" t="n">
        <f aca="false">N195-B195</f>
        <v>8</v>
      </c>
      <c r="Q195" s="6" t="str">
        <f aca="false">IF(F195="Serious",IF(P195&lt;=O195,"Yes","No"),"N/A")</f>
        <v>N/A</v>
      </c>
      <c r="R195" s="6" t="str">
        <f aca="false">IF(AND(I195="Yes",L195=""),Dashboard!$B$2-K195,"")</f>
        <v/>
      </c>
    </row>
    <row r="196" customFormat="false" ht="15" hidden="false" customHeight="false" outlineLevel="0" collapsed="false">
      <c r="A196" s="6" t="s">
        <v>292</v>
      </c>
      <c r="B196" s="7" t="n">
        <v>45837</v>
      </c>
      <c r="C196" s="6" t="s">
        <v>49</v>
      </c>
      <c r="D196" s="6" t="s">
        <v>85</v>
      </c>
      <c r="E196" s="6" t="s">
        <v>109</v>
      </c>
      <c r="F196" s="6" t="s">
        <v>40</v>
      </c>
      <c r="G196" s="6" t="s">
        <v>59</v>
      </c>
      <c r="H196" s="6" t="s">
        <v>42</v>
      </c>
      <c r="I196" s="6" t="s">
        <v>61</v>
      </c>
      <c r="J196" s="6" t="s">
        <v>76</v>
      </c>
      <c r="K196" s="7" t="n">
        <v>45843</v>
      </c>
      <c r="L196" s="7" t="n">
        <v>45856</v>
      </c>
      <c r="M196" s="6" t="n">
        <f aca="false">IF(AND(K196&lt;&gt;"",L196&lt;&gt;""),L196-K196,"")</f>
        <v>13</v>
      </c>
      <c r="N196" s="7" t="n">
        <v>45841</v>
      </c>
      <c r="O196" s="6" t="n">
        <f aca="false">IF(F196="Serious",15,"N/A")</f>
        <v>15</v>
      </c>
      <c r="P196" s="6" t="n">
        <f aca="false">N196-B196</f>
        <v>4</v>
      </c>
      <c r="Q196" s="6" t="str">
        <f aca="false">IF(F196="Serious",IF(P196&lt;=O196,"Yes","No"),"N/A")</f>
        <v>Yes</v>
      </c>
      <c r="R196" s="6" t="str">
        <f aca="false">IF(AND(I196="Yes",L196=""),Dashboard!$B$2-K196,"")</f>
        <v/>
      </c>
    </row>
    <row r="197" customFormat="false" ht="15" hidden="false" customHeight="false" outlineLevel="0" collapsed="false">
      <c r="A197" s="6" t="s">
        <v>293</v>
      </c>
      <c r="B197" s="7" t="n">
        <v>46142</v>
      </c>
      <c r="C197" s="6" t="s">
        <v>56</v>
      </c>
      <c r="D197" s="6" t="s">
        <v>57</v>
      </c>
      <c r="E197" s="6" t="s">
        <v>58</v>
      </c>
      <c r="F197" s="6" t="s">
        <v>52</v>
      </c>
      <c r="G197" s="6" t="s">
        <v>53</v>
      </c>
      <c r="H197" s="6" t="s">
        <v>42</v>
      </c>
      <c r="I197" s="6" t="s">
        <v>61</v>
      </c>
      <c r="J197" s="6" t="s">
        <v>74</v>
      </c>
      <c r="K197" s="7" t="n">
        <v>46149</v>
      </c>
      <c r="L197" s="7" t="n">
        <v>46156</v>
      </c>
      <c r="M197" s="6" t="n">
        <f aca="false">IF(AND(K197&lt;&gt;"",L197&lt;&gt;""),L197-K197,"")</f>
        <v>7</v>
      </c>
      <c r="N197" s="7" t="n">
        <v>46162</v>
      </c>
      <c r="O197" s="6" t="str">
        <f aca="false">IF(F197="Serious",15,"N/A")</f>
        <v>N/A</v>
      </c>
      <c r="P197" s="6" t="n">
        <f aca="false">N197-B197</f>
        <v>20</v>
      </c>
      <c r="Q197" s="6" t="str">
        <f aca="false">IF(F197="Serious",IF(P197&lt;=O197,"Yes","No"),"N/A")</f>
        <v>N/A</v>
      </c>
      <c r="R197" s="6" t="str">
        <f aca="false">IF(AND(I197="Yes",L197=""),Dashboard!$B$2-K197,"")</f>
        <v/>
      </c>
    </row>
    <row r="198" customFormat="false" ht="15" hidden="false" customHeight="false" outlineLevel="0" collapsed="false">
      <c r="A198" s="6" t="s">
        <v>294</v>
      </c>
      <c r="B198" s="7" t="n">
        <v>45919</v>
      </c>
      <c r="C198" s="6" t="s">
        <v>56</v>
      </c>
      <c r="D198" s="6" t="s">
        <v>249</v>
      </c>
      <c r="E198" s="6" t="s">
        <v>295</v>
      </c>
      <c r="F198" s="6" t="s">
        <v>40</v>
      </c>
      <c r="G198" s="6" t="s">
        <v>59</v>
      </c>
      <c r="H198" s="6" t="s">
        <v>60</v>
      </c>
      <c r="I198" s="6" t="s">
        <v>61</v>
      </c>
      <c r="J198" s="6" t="s">
        <v>98</v>
      </c>
      <c r="K198" s="7" t="n">
        <v>45920</v>
      </c>
      <c r="L198" s="7" t="n">
        <v>45941</v>
      </c>
      <c r="M198" s="6" t="n">
        <f aca="false">IF(AND(K198&lt;&gt;"",L198&lt;&gt;""),L198-K198,"")</f>
        <v>21</v>
      </c>
      <c r="N198" s="7" t="n">
        <v>45922</v>
      </c>
      <c r="O198" s="6" t="n">
        <f aca="false">IF(F198="Serious",15,"N/A")</f>
        <v>15</v>
      </c>
      <c r="P198" s="6" t="n">
        <f aca="false">N198-B198</f>
        <v>3</v>
      </c>
      <c r="Q198" s="6" t="str">
        <f aca="false">IF(F198="Serious",IF(P198&lt;=O198,"Yes","No"),"N/A")</f>
        <v>Yes</v>
      </c>
      <c r="R198" s="6" t="str">
        <f aca="false">IF(AND(I198="Yes",L198=""),Dashboard!$B$2-K198,"")</f>
        <v/>
      </c>
    </row>
    <row r="199" customFormat="false" ht="15" hidden="false" customHeight="false" outlineLevel="0" collapsed="false">
      <c r="A199" s="6" t="s">
        <v>296</v>
      </c>
      <c r="B199" s="7" t="n">
        <v>45850</v>
      </c>
      <c r="C199" s="6" t="s">
        <v>64</v>
      </c>
      <c r="D199" s="6" t="s">
        <v>85</v>
      </c>
      <c r="E199" s="6" t="s">
        <v>86</v>
      </c>
      <c r="F199" s="6" t="s">
        <v>52</v>
      </c>
      <c r="G199" s="6" t="s">
        <v>88</v>
      </c>
      <c r="H199" s="6" t="s">
        <v>60</v>
      </c>
      <c r="I199" s="6" t="s">
        <v>43</v>
      </c>
      <c r="J199" s="6"/>
      <c r="K199" s="6"/>
      <c r="L199" s="6"/>
      <c r="M199" s="6" t="str">
        <f aca="false">IF(AND(K199&lt;&gt;"",L199&lt;&gt;""),L199-K199,"")</f>
        <v/>
      </c>
      <c r="N199" s="7" t="n">
        <v>45855</v>
      </c>
      <c r="O199" s="6" t="str">
        <f aca="false">IF(F199="Serious",15,"N/A")</f>
        <v>N/A</v>
      </c>
      <c r="P199" s="6" t="n">
        <f aca="false">N199-B199</f>
        <v>5</v>
      </c>
      <c r="Q199" s="6" t="str">
        <f aca="false">IF(F199="Serious",IF(P199&lt;=O199,"Yes","No"),"N/A")</f>
        <v>N/A</v>
      </c>
      <c r="R199" s="6" t="str">
        <f aca="false">IF(AND(I199="Yes",L199=""),Dashboard!$B$2-K199,"")</f>
        <v/>
      </c>
    </row>
    <row r="200" customFormat="false" ht="15" hidden="false" customHeight="false" outlineLevel="0" collapsed="false">
      <c r="A200" s="6" t="s">
        <v>297</v>
      </c>
      <c r="B200" s="7" t="n">
        <v>45874</v>
      </c>
      <c r="C200" s="6" t="s">
        <v>56</v>
      </c>
      <c r="D200" s="6" t="s">
        <v>45</v>
      </c>
      <c r="E200" s="6" t="s">
        <v>91</v>
      </c>
      <c r="F200" s="6" t="s">
        <v>52</v>
      </c>
      <c r="G200" s="6" t="s">
        <v>59</v>
      </c>
      <c r="H200" s="6" t="s">
        <v>60</v>
      </c>
      <c r="I200" s="6" t="s">
        <v>43</v>
      </c>
      <c r="J200" s="6"/>
      <c r="K200" s="6"/>
      <c r="L200" s="6"/>
      <c r="M200" s="6" t="str">
        <f aca="false">IF(AND(K200&lt;&gt;"",L200&lt;&gt;""),L200-K200,"")</f>
        <v/>
      </c>
      <c r="N200" s="7" t="n">
        <v>45892</v>
      </c>
      <c r="O200" s="6" t="str">
        <f aca="false">IF(F200="Serious",15,"N/A")</f>
        <v>N/A</v>
      </c>
      <c r="P200" s="6" t="n">
        <f aca="false">N200-B200</f>
        <v>18</v>
      </c>
      <c r="Q200" s="6" t="str">
        <f aca="false">IF(F200="Serious",IF(P200&lt;=O200,"Yes","No"),"N/A")</f>
        <v>N/A</v>
      </c>
      <c r="R200" s="6" t="str">
        <f aca="false">IF(AND(I200="Yes",L200=""),Dashboard!$B$2-K200,"")</f>
        <v/>
      </c>
    </row>
    <row r="201" customFormat="false" ht="15" hidden="false" customHeight="false" outlineLevel="0" collapsed="false">
      <c r="A201" s="6" t="s">
        <v>298</v>
      </c>
      <c r="B201" s="7" t="n">
        <v>46064</v>
      </c>
      <c r="C201" s="6" t="s">
        <v>56</v>
      </c>
      <c r="D201" s="6" t="s">
        <v>85</v>
      </c>
      <c r="E201" s="6" t="s">
        <v>109</v>
      </c>
      <c r="F201" s="6" t="s">
        <v>52</v>
      </c>
      <c r="G201" s="6" t="s">
        <v>59</v>
      </c>
      <c r="H201" s="6" t="s">
        <v>42</v>
      </c>
      <c r="I201" s="6" t="s">
        <v>61</v>
      </c>
      <c r="J201" s="6" t="s">
        <v>62</v>
      </c>
      <c r="K201" s="7" t="n">
        <v>46070</v>
      </c>
      <c r="L201" s="7" t="n">
        <v>46086</v>
      </c>
      <c r="M201" s="6" t="n">
        <f aca="false">IF(AND(K201&lt;&gt;"",L201&lt;&gt;""),L201-K201,"")</f>
        <v>16</v>
      </c>
      <c r="N201" s="7" t="n">
        <v>46075</v>
      </c>
      <c r="O201" s="6" t="str">
        <f aca="false">IF(F201="Serious",15,"N/A")</f>
        <v>N/A</v>
      </c>
      <c r="P201" s="6" t="n">
        <f aca="false">N201-B201</f>
        <v>11</v>
      </c>
      <c r="Q201" s="6" t="str">
        <f aca="false">IF(F201="Serious",IF(P201&lt;=O201,"Yes","No"),"N/A")</f>
        <v>N/A</v>
      </c>
      <c r="R201" s="6" t="str">
        <f aca="false">IF(AND(I201="Yes",L201=""),Dashboard!$B$2-K201,"")</f>
        <v/>
      </c>
    </row>
    <row r="202" customFormat="false" ht="15" hidden="false" customHeight="false" outlineLevel="0" collapsed="false">
      <c r="A202" s="6" t="s">
        <v>299</v>
      </c>
      <c r="B202" s="7" t="n">
        <v>46138</v>
      </c>
      <c r="C202" s="6" t="s">
        <v>73</v>
      </c>
      <c r="D202" s="6" t="s">
        <v>57</v>
      </c>
      <c r="E202" s="6" t="s">
        <v>58</v>
      </c>
      <c r="F202" s="6" t="s">
        <v>52</v>
      </c>
      <c r="G202" s="6" t="s">
        <v>53</v>
      </c>
      <c r="H202" s="6" t="s">
        <v>54</v>
      </c>
      <c r="I202" s="6" t="s">
        <v>43</v>
      </c>
      <c r="J202" s="6"/>
      <c r="K202" s="6"/>
      <c r="L202" s="6"/>
      <c r="M202" s="6" t="str">
        <f aca="false">IF(AND(K202&lt;&gt;"",L202&lt;&gt;""),L202-K202,"")</f>
        <v/>
      </c>
      <c r="N202" s="7" t="n">
        <v>46144</v>
      </c>
      <c r="O202" s="6" t="str">
        <f aca="false">IF(F202="Serious",15,"N/A")</f>
        <v>N/A</v>
      </c>
      <c r="P202" s="6" t="n">
        <f aca="false">N202-B202</f>
        <v>6</v>
      </c>
      <c r="Q202" s="6" t="str">
        <f aca="false">IF(F202="Serious",IF(P202&lt;=O202,"Yes","No"),"N/A")</f>
        <v>N/A</v>
      </c>
      <c r="R202" s="6" t="str">
        <f aca="false">IF(AND(I202="Yes",L202=""),Dashboard!$B$2-K202,"")</f>
        <v/>
      </c>
    </row>
    <row r="203" customFormat="false" ht="15" hidden="false" customHeight="false" outlineLevel="0" collapsed="false">
      <c r="A203" s="6" t="s">
        <v>300</v>
      </c>
      <c r="B203" s="7" t="n">
        <v>45925</v>
      </c>
      <c r="C203" s="6" t="s">
        <v>64</v>
      </c>
      <c r="D203" s="6" t="s">
        <v>50</v>
      </c>
      <c r="E203" s="6" t="s">
        <v>51</v>
      </c>
      <c r="F203" s="6" t="s">
        <v>52</v>
      </c>
      <c r="G203" s="6" t="s">
        <v>53</v>
      </c>
      <c r="H203" s="6" t="s">
        <v>60</v>
      </c>
      <c r="I203" s="6" t="s">
        <v>61</v>
      </c>
      <c r="J203" s="6" t="s">
        <v>98</v>
      </c>
      <c r="K203" s="7" t="n">
        <v>45933</v>
      </c>
      <c r="L203" s="7" t="n">
        <v>45968</v>
      </c>
      <c r="M203" s="6" t="n">
        <f aca="false">IF(AND(K203&lt;&gt;"",L203&lt;&gt;""),L203-K203,"")</f>
        <v>35</v>
      </c>
      <c r="N203" s="7" t="n">
        <v>45951</v>
      </c>
      <c r="O203" s="6" t="str">
        <f aca="false">IF(F203="Serious",15,"N/A")</f>
        <v>N/A</v>
      </c>
      <c r="P203" s="6" t="n">
        <f aca="false">N203-B203</f>
        <v>26</v>
      </c>
      <c r="Q203" s="6" t="str">
        <f aca="false">IF(F203="Serious",IF(P203&lt;=O203,"Yes","No"),"N/A")</f>
        <v>N/A</v>
      </c>
      <c r="R203" s="6" t="str">
        <f aca="false">IF(AND(I203="Yes",L203=""),Dashboard!$B$2-K203,"")</f>
        <v/>
      </c>
    </row>
    <row r="204" customFormat="false" ht="15" hidden="false" customHeight="false" outlineLevel="0" collapsed="false">
      <c r="A204" s="6" t="s">
        <v>301</v>
      </c>
      <c r="B204" s="7" t="n">
        <v>45921</v>
      </c>
      <c r="C204" s="6" t="s">
        <v>49</v>
      </c>
      <c r="D204" s="6" t="s">
        <v>69</v>
      </c>
      <c r="E204" s="6" t="s">
        <v>70</v>
      </c>
      <c r="F204" s="6" t="s">
        <v>40</v>
      </c>
      <c r="G204" s="6" t="s">
        <v>41</v>
      </c>
      <c r="H204" s="6" t="s">
        <v>60</v>
      </c>
      <c r="I204" s="6" t="s">
        <v>43</v>
      </c>
      <c r="J204" s="6"/>
      <c r="K204" s="6"/>
      <c r="L204" s="6"/>
      <c r="M204" s="6" t="str">
        <f aca="false">IF(AND(K204&lt;&gt;"",L204&lt;&gt;""),L204-K204,"")</f>
        <v/>
      </c>
      <c r="N204" s="7" t="n">
        <v>45931</v>
      </c>
      <c r="O204" s="6" t="n">
        <f aca="false">IF(F204="Serious",15,"N/A")</f>
        <v>15</v>
      </c>
      <c r="P204" s="6" t="n">
        <f aca="false">N204-B204</f>
        <v>10</v>
      </c>
      <c r="Q204" s="6" t="str">
        <f aca="false">IF(F204="Serious",IF(P204&lt;=O204,"Yes","No"),"N/A")</f>
        <v>Yes</v>
      </c>
      <c r="R204" s="6" t="str">
        <f aca="false">IF(AND(I204="Yes",L204=""),Dashboard!$B$2-K204,"")</f>
        <v/>
      </c>
    </row>
    <row r="205" customFormat="false" ht="15" hidden="false" customHeight="false" outlineLevel="0" collapsed="false">
      <c r="A205" s="6" t="s">
        <v>302</v>
      </c>
      <c r="B205" s="7" t="n">
        <v>45718</v>
      </c>
      <c r="C205" s="6" t="s">
        <v>64</v>
      </c>
      <c r="D205" s="6" t="s">
        <v>79</v>
      </c>
      <c r="E205" s="6" t="s">
        <v>80</v>
      </c>
      <c r="F205" s="6" t="s">
        <v>52</v>
      </c>
      <c r="G205" s="6" t="s">
        <v>66</v>
      </c>
      <c r="H205" s="6" t="s">
        <v>42</v>
      </c>
      <c r="I205" s="6" t="s">
        <v>61</v>
      </c>
      <c r="J205" s="6" t="s">
        <v>126</v>
      </c>
      <c r="K205" s="7" t="n">
        <v>45722</v>
      </c>
      <c r="L205" s="7" t="n">
        <v>45729</v>
      </c>
      <c r="M205" s="6" t="n">
        <f aca="false">IF(AND(K205&lt;&gt;"",L205&lt;&gt;""),L205-K205,"")</f>
        <v>7</v>
      </c>
      <c r="N205" s="7" t="n">
        <v>45736</v>
      </c>
      <c r="O205" s="6" t="str">
        <f aca="false">IF(F205="Serious",15,"N/A")</f>
        <v>N/A</v>
      </c>
      <c r="P205" s="6" t="n">
        <f aca="false">N205-B205</f>
        <v>18</v>
      </c>
      <c r="Q205" s="6" t="str">
        <f aca="false">IF(F205="Serious",IF(P205&lt;=O205,"Yes","No"),"N/A")</f>
        <v>N/A</v>
      </c>
      <c r="R205" s="6" t="str">
        <f aca="false">IF(AND(I205="Yes",L205=""),Dashboard!$B$2-K205,"")</f>
        <v/>
      </c>
    </row>
    <row r="206" customFormat="false" ht="15" hidden="false" customHeight="false" outlineLevel="0" collapsed="false">
      <c r="A206" s="6" t="s">
        <v>303</v>
      </c>
      <c r="B206" s="7" t="n">
        <v>46175</v>
      </c>
      <c r="C206" s="6" t="s">
        <v>49</v>
      </c>
      <c r="D206" s="6" t="s">
        <v>249</v>
      </c>
      <c r="E206" s="6" t="s">
        <v>250</v>
      </c>
      <c r="F206" s="6" t="s">
        <v>52</v>
      </c>
      <c r="G206" s="6" t="s">
        <v>66</v>
      </c>
      <c r="H206" s="6" t="s">
        <v>42</v>
      </c>
      <c r="I206" s="6" t="s">
        <v>61</v>
      </c>
      <c r="J206" s="6" t="s">
        <v>74</v>
      </c>
      <c r="K206" s="7" t="n">
        <v>46176</v>
      </c>
      <c r="L206" s="7" t="n">
        <v>46193</v>
      </c>
      <c r="M206" s="6" t="n">
        <f aca="false">IF(AND(K206&lt;&gt;"",L206&lt;&gt;""),L206-K206,"")</f>
        <v>17</v>
      </c>
      <c r="N206" s="7" t="n">
        <v>46180</v>
      </c>
      <c r="O206" s="6" t="str">
        <f aca="false">IF(F206="Serious",15,"N/A")</f>
        <v>N/A</v>
      </c>
      <c r="P206" s="6" t="n">
        <f aca="false">N206-B206</f>
        <v>5</v>
      </c>
      <c r="Q206" s="6" t="str">
        <f aca="false">IF(F206="Serious",IF(P206&lt;=O206,"Yes","No"),"N/A")</f>
        <v>N/A</v>
      </c>
      <c r="R206" s="6" t="str">
        <f aca="false">IF(AND(I206="Yes",L206=""),Dashboard!$B$2-K206,"")</f>
        <v/>
      </c>
    </row>
    <row r="207" customFormat="false" ht="15" hidden="false" customHeight="false" outlineLevel="0" collapsed="false">
      <c r="A207" s="6" t="s">
        <v>304</v>
      </c>
      <c r="B207" s="7" t="n">
        <v>45675</v>
      </c>
      <c r="C207" s="6" t="s">
        <v>64</v>
      </c>
      <c r="D207" s="6" t="s">
        <v>38</v>
      </c>
      <c r="E207" s="6" t="s">
        <v>65</v>
      </c>
      <c r="F207" s="6" t="s">
        <v>40</v>
      </c>
      <c r="G207" s="6" t="s">
        <v>88</v>
      </c>
      <c r="H207" s="6" t="s">
        <v>42</v>
      </c>
      <c r="I207" s="6" t="s">
        <v>43</v>
      </c>
      <c r="J207" s="6"/>
      <c r="K207" s="6"/>
      <c r="L207" s="6"/>
      <c r="M207" s="6" t="str">
        <f aca="false">IF(AND(K207&lt;&gt;"",L207&lt;&gt;""),L207-K207,"")</f>
        <v/>
      </c>
      <c r="N207" s="7" t="n">
        <v>45692</v>
      </c>
      <c r="O207" s="6" t="n">
        <f aca="false">IF(F207="Serious",15,"N/A")</f>
        <v>15</v>
      </c>
      <c r="P207" s="6" t="n">
        <f aca="false">N207-B207</f>
        <v>17</v>
      </c>
      <c r="Q207" s="6" t="str">
        <f aca="false">IF(F207="Serious",IF(P207&lt;=O207,"Yes","No"),"N/A")</f>
        <v>No</v>
      </c>
      <c r="R207" s="6" t="str">
        <f aca="false">IF(AND(I207="Yes",L207=""),Dashboard!$B$2-K207,"")</f>
        <v/>
      </c>
    </row>
    <row r="208" customFormat="false" ht="15" hidden="false" customHeight="false" outlineLevel="0" collapsed="false">
      <c r="A208" s="6" t="s">
        <v>305</v>
      </c>
      <c r="B208" s="7" t="n">
        <v>45756</v>
      </c>
      <c r="C208" s="6" t="s">
        <v>64</v>
      </c>
      <c r="D208" s="6" t="s">
        <v>82</v>
      </c>
      <c r="E208" s="6" t="s">
        <v>116</v>
      </c>
      <c r="F208" s="6" t="s">
        <v>40</v>
      </c>
      <c r="G208" s="6" t="s">
        <v>47</v>
      </c>
      <c r="H208" s="6" t="s">
        <v>54</v>
      </c>
      <c r="I208" s="6" t="s">
        <v>61</v>
      </c>
      <c r="J208" s="6" t="s">
        <v>74</v>
      </c>
      <c r="K208" s="7" t="n">
        <v>45758</v>
      </c>
      <c r="L208" s="7" t="n">
        <v>45771</v>
      </c>
      <c r="M208" s="6" t="n">
        <f aca="false">IF(AND(K208&lt;&gt;"",L208&lt;&gt;""),L208-K208,"")</f>
        <v>13</v>
      </c>
      <c r="N208" s="7" t="n">
        <v>45769</v>
      </c>
      <c r="O208" s="6" t="n">
        <f aca="false">IF(F208="Serious",15,"N/A")</f>
        <v>15</v>
      </c>
      <c r="P208" s="6" t="n">
        <f aca="false">N208-B208</f>
        <v>13</v>
      </c>
      <c r="Q208" s="6" t="str">
        <f aca="false">IF(F208="Serious",IF(P208&lt;=O208,"Yes","No"),"N/A")</f>
        <v>Yes</v>
      </c>
      <c r="R208" s="6" t="str">
        <f aca="false">IF(AND(I208="Yes",L208=""),Dashboard!$B$2-K208,"")</f>
        <v/>
      </c>
    </row>
    <row r="209" customFormat="false" ht="15" hidden="false" customHeight="false" outlineLevel="0" collapsed="false">
      <c r="A209" s="6" t="s">
        <v>306</v>
      </c>
      <c r="B209" s="7" t="n">
        <v>45889</v>
      </c>
      <c r="C209" s="6" t="s">
        <v>73</v>
      </c>
      <c r="D209" s="6" t="s">
        <v>45</v>
      </c>
      <c r="E209" s="6" t="s">
        <v>91</v>
      </c>
      <c r="F209" s="6" t="s">
        <v>52</v>
      </c>
      <c r="G209" s="6" t="s">
        <v>66</v>
      </c>
      <c r="H209" s="6" t="s">
        <v>60</v>
      </c>
      <c r="I209" s="6" t="s">
        <v>61</v>
      </c>
      <c r="J209" s="6" t="s">
        <v>74</v>
      </c>
      <c r="K209" s="7" t="n">
        <v>45898</v>
      </c>
      <c r="L209" s="7" t="n">
        <v>45918</v>
      </c>
      <c r="M209" s="6" t="n">
        <f aca="false">IF(AND(K209&lt;&gt;"",L209&lt;&gt;""),L209-K209,"")</f>
        <v>20</v>
      </c>
      <c r="N209" s="7" t="n">
        <v>45938</v>
      </c>
      <c r="O209" s="6" t="str">
        <f aca="false">IF(F209="Serious",15,"N/A")</f>
        <v>N/A</v>
      </c>
      <c r="P209" s="6" t="n">
        <f aca="false">N209-B209</f>
        <v>49</v>
      </c>
      <c r="Q209" s="6" t="str">
        <f aca="false">IF(F209="Serious",IF(P209&lt;=O209,"Yes","No"),"N/A")</f>
        <v>N/A</v>
      </c>
      <c r="R209" s="6" t="str">
        <f aca="false">IF(AND(I209="Yes",L209=""),Dashboard!$B$2-K209,"")</f>
        <v/>
      </c>
    </row>
    <row r="210" customFormat="false" ht="15" hidden="false" customHeight="false" outlineLevel="0" collapsed="false">
      <c r="A210" s="6" t="s">
        <v>307</v>
      </c>
      <c r="B210" s="7" t="n">
        <v>45833</v>
      </c>
      <c r="C210" s="6" t="s">
        <v>37</v>
      </c>
      <c r="D210" s="6" t="s">
        <v>69</v>
      </c>
      <c r="E210" s="6" t="s">
        <v>70</v>
      </c>
      <c r="F210" s="6" t="s">
        <v>52</v>
      </c>
      <c r="G210" s="6" t="s">
        <v>59</v>
      </c>
      <c r="H210" s="6" t="s">
        <v>129</v>
      </c>
      <c r="I210" s="6" t="s">
        <v>43</v>
      </c>
      <c r="J210" s="6"/>
      <c r="K210" s="6"/>
      <c r="L210" s="6"/>
      <c r="M210" s="6" t="str">
        <f aca="false">IF(AND(K210&lt;&gt;"",L210&lt;&gt;""),L210-K210,"")</f>
        <v/>
      </c>
      <c r="N210" s="7" t="n">
        <v>45871</v>
      </c>
      <c r="O210" s="6" t="str">
        <f aca="false">IF(F210="Serious",15,"N/A")</f>
        <v>N/A</v>
      </c>
      <c r="P210" s="6" t="n">
        <f aca="false">N210-B210</f>
        <v>38</v>
      </c>
      <c r="Q210" s="6" t="str">
        <f aca="false">IF(F210="Serious",IF(P210&lt;=O210,"Yes","No"),"N/A")</f>
        <v>N/A</v>
      </c>
      <c r="R210" s="6" t="str">
        <f aca="false">IF(AND(I210="Yes",L210=""),Dashboard!$B$2-K210,"")</f>
        <v/>
      </c>
    </row>
    <row r="211" customFormat="false" ht="15" hidden="false" customHeight="false" outlineLevel="0" collapsed="false">
      <c r="A211" s="6" t="s">
        <v>308</v>
      </c>
      <c r="B211" s="7" t="n">
        <v>45701</v>
      </c>
      <c r="C211" s="6" t="s">
        <v>56</v>
      </c>
      <c r="D211" s="6" t="s">
        <v>57</v>
      </c>
      <c r="E211" s="6" t="s">
        <v>58</v>
      </c>
      <c r="F211" s="6" t="s">
        <v>52</v>
      </c>
      <c r="G211" s="6" t="s">
        <v>71</v>
      </c>
      <c r="H211" s="6" t="s">
        <v>42</v>
      </c>
      <c r="I211" s="6" t="s">
        <v>61</v>
      </c>
      <c r="J211" s="6" t="s">
        <v>76</v>
      </c>
      <c r="K211" s="7" t="n">
        <v>45711</v>
      </c>
      <c r="L211" s="7" t="n">
        <v>45719</v>
      </c>
      <c r="M211" s="6" t="n">
        <f aca="false">IF(AND(K211&lt;&gt;"",L211&lt;&gt;""),L211-K211,"")</f>
        <v>8</v>
      </c>
      <c r="N211" s="7" t="n">
        <v>45760</v>
      </c>
      <c r="O211" s="6" t="str">
        <f aca="false">IF(F211="Serious",15,"N/A")</f>
        <v>N/A</v>
      </c>
      <c r="P211" s="6" t="n">
        <f aca="false">N211-B211</f>
        <v>59</v>
      </c>
      <c r="Q211" s="6" t="str">
        <f aca="false">IF(F211="Serious",IF(P211&lt;=O211,"Yes","No"),"N/A")</f>
        <v>N/A</v>
      </c>
      <c r="R211" s="6" t="str">
        <f aca="false">IF(AND(I211="Yes",L211=""),Dashboard!$B$2-K211,"")</f>
        <v/>
      </c>
    </row>
    <row r="212" customFormat="false" ht="15" hidden="false" customHeight="false" outlineLevel="0" collapsed="false">
      <c r="A212" s="6" t="s">
        <v>309</v>
      </c>
      <c r="B212" s="7" t="n">
        <v>45980</v>
      </c>
      <c r="C212" s="6" t="s">
        <v>37</v>
      </c>
      <c r="D212" s="6" t="s">
        <v>57</v>
      </c>
      <c r="E212" s="6" t="s">
        <v>94</v>
      </c>
      <c r="F212" s="6" t="s">
        <v>52</v>
      </c>
      <c r="G212" s="6" t="s">
        <v>66</v>
      </c>
      <c r="H212" s="6" t="s">
        <v>60</v>
      </c>
      <c r="I212" s="6" t="s">
        <v>61</v>
      </c>
      <c r="J212" s="6" t="s">
        <v>98</v>
      </c>
      <c r="K212" s="7" t="n">
        <v>45990</v>
      </c>
      <c r="L212" s="7" t="n">
        <v>46018</v>
      </c>
      <c r="M212" s="6" t="n">
        <f aca="false">IF(AND(K212&lt;&gt;"",L212&lt;&gt;""),L212-K212,"")</f>
        <v>28</v>
      </c>
      <c r="N212" s="7" t="n">
        <v>46009</v>
      </c>
      <c r="O212" s="6" t="str">
        <f aca="false">IF(F212="Serious",15,"N/A")</f>
        <v>N/A</v>
      </c>
      <c r="P212" s="6" t="n">
        <f aca="false">N212-B212</f>
        <v>29</v>
      </c>
      <c r="Q212" s="6" t="str">
        <f aca="false">IF(F212="Serious",IF(P212&lt;=O212,"Yes","No"),"N/A")</f>
        <v>N/A</v>
      </c>
      <c r="R212" s="6" t="str">
        <f aca="false">IF(AND(I212="Yes",L212=""),Dashboard!$B$2-K212,"")</f>
        <v/>
      </c>
    </row>
    <row r="213" customFormat="false" ht="15" hidden="false" customHeight="false" outlineLevel="0" collapsed="false">
      <c r="A213" s="6" t="s">
        <v>310</v>
      </c>
      <c r="B213" s="7" t="n">
        <v>45997</v>
      </c>
      <c r="C213" s="6" t="s">
        <v>49</v>
      </c>
      <c r="D213" s="6" t="s">
        <v>82</v>
      </c>
      <c r="E213" s="6" t="s">
        <v>193</v>
      </c>
      <c r="F213" s="6" t="s">
        <v>52</v>
      </c>
      <c r="G213" s="6" t="s">
        <v>47</v>
      </c>
      <c r="H213" s="6" t="s">
        <v>129</v>
      </c>
      <c r="I213" s="6" t="s">
        <v>61</v>
      </c>
      <c r="J213" s="6" t="s">
        <v>74</v>
      </c>
      <c r="K213" s="7" t="n">
        <v>46001</v>
      </c>
      <c r="L213" s="6"/>
      <c r="M213" s="6" t="str">
        <f aca="false">IF(AND(K213&lt;&gt;"",L213&lt;&gt;""),L213-K213,"")</f>
        <v/>
      </c>
      <c r="N213" s="7" t="n">
        <v>46023</v>
      </c>
      <c r="O213" s="6" t="str">
        <f aca="false">IF(F213="Serious",15,"N/A")</f>
        <v>N/A</v>
      </c>
      <c r="P213" s="6" t="n">
        <f aca="false">N213-B213</f>
        <v>26</v>
      </c>
      <c r="Q213" s="6" t="str">
        <f aca="false">IF(F213="Serious",IF(P213&lt;=O213,"Yes","No"),"N/A")</f>
        <v>N/A</v>
      </c>
      <c r="R213" s="6" t="n">
        <f aca="false">IF(AND(I213="Yes",L213=""),Dashboard!$B$2-K213,"")</f>
        <v>213</v>
      </c>
    </row>
    <row r="214" customFormat="false" ht="15" hidden="false" customHeight="false" outlineLevel="0" collapsed="false">
      <c r="A214" s="6" t="s">
        <v>311</v>
      </c>
      <c r="B214" s="7" t="n">
        <v>46064</v>
      </c>
      <c r="C214" s="6" t="s">
        <v>73</v>
      </c>
      <c r="D214" s="6" t="s">
        <v>79</v>
      </c>
      <c r="E214" s="6" t="s">
        <v>112</v>
      </c>
      <c r="F214" s="6" t="s">
        <v>52</v>
      </c>
      <c r="G214" s="6" t="s">
        <v>59</v>
      </c>
      <c r="H214" s="6" t="s">
        <v>60</v>
      </c>
      <c r="I214" s="6" t="s">
        <v>61</v>
      </c>
      <c r="J214" s="6" t="s">
        <v>74</v>
      </c>
      <c r="K214" s="7" t="n">
        <v>46071</v>
      </c>
      <c r="L214" s="7" t="n">
        <v>46090</v>
      </c>
      <c r="M214" s="6" t="n">
        <f aca="false">IF(AND(K214&lt;&gt;"",L214&lt;&gt;""),L214-K214,"")</f>
        <v>19</v>
      </c>
      <c r="N214" s="7" t="n">
        <v>46093</v>
      </c>
      <c r="O214" s="6" t="str">
        <f aca="false">IF(F214="Serious",15,"N/A")</f>
        <v>N/A</v>
      </c>
      <c r="P214" s="6" t="n">
        <f aca="false">N214-B214</f>
        <v>29</v>
      </c>
      <c r="Q214" s="6" t="str">
        <f aca="false">IF(F214="Serious",IF(P214&lt;=O214,"Yes","No"),"N/A")</f>
        <v>N/A</v>
      </c>
      <c r="R214" s="6" t="str">
        <f aca="false">IF(AND(I214="Yes",L214=""),Dashboard!$B$2-K214,"")</f>
        <v/>
      </c>
    </row>
    <row r="215" customFormat="false" ht="15" hidden="false" customHeight="false" outlineLevel="0" collapsed="false">
      <c r="A215" s="6" t="s">
        <v>312</v>
      </c>
      <c r="B215" s="7" t="n">
        <v>45745</v>
      </c>
      <c r="C215" s="6" t="s">
        <v>64</v>
      </c>
      <c r="D215" s="6" t="s">
        <v>38</v>
      </c>
      <c r="E215" s="6" t="s">
        <v>39</v>
      </c>
      <c r="F215" s="6" t="s">
        <v>52</v>
      </c>
      <c r="G215" s="6" t="s">
        <v>53</v>
      </c>
      <c r="H215" s="6" t="s">
        <v>60</v>
      </c>
      <c r="I215" s="6" t="s">
        <v>43</v>
      </c>
      <c r="J215" s="6"/>
      <c r="K215" s="6"/>
      <c r="L215" s="6"/>
      <c r="M215" s="6" t="str">
        <f aca="false">IF(AND(K215&lt;&gt;"",L215&lt;&gt;""),L215-K215,"")</f>
        <v/>
      </c>
      <c r="N215" s="7" t="n">
        <v>45790</v>
      </c>
      <c r="O215" s="6" t="str">
        <f aca="false">IF(F215="Serious",15,"N/A")</f>
        <v>N/A</v>
      </c>
      <c r="P215" s="6" t="n">
        <f aca="false">N215-B215</f>
        <v>45</v>
      </c>
      <c r="Q215" s="6" t="str">
        <f aca="false">IF(F215="Serious",IF(P215&lt;=O215,"Yes","No"),"N/A")</f>
        <v>N/A</v>
      </c>
      <c r="R215" s="6" t="str">
        <f aca="false">IF(AND(I215="Yes",L215=""),Dashboard!$B$2-K215,"")</f>
        <v/>
      </c>
    </row>
    <row r="216" customFormat="false" ht="15" hidden="false" customHeight="false" outlineLevel="0" collapsed="false">
      <c r="A216" s="6" t="s">
        <v>313</v>
      </c>
      <c r="B216" s="7" t="n">
        <v>45815</v>
      </c>
      <c r="C216" s="6" t="s">
        <v>49</v>
      </c>
      <c r="D216" s="6" t="s">
        <v>249</v>
      </c>
      <c r="E216" s="6" t="s">
        <v>278</v>
      </c>
      <c r="F216" s="6" t="s">
        <v>40</v>
      </c>
      <c r="G216" s="6" t="s">
        <v>53</v>
      </c>
      <c r="H216" s="6" t="s">
        <v>60</v>
      </c>
      <c r="I216" s="6" t="s">
        <v>61</v>
      </c>
      <c r="J216" s="6" t="s">
        <v>62</v>
      </c>
      <c r="K216" s="7" t="n">
        <v>45817</v>
      </c>
      <c r="L216" s="7" t="n">
        <v>45825</v>
      </c>
      <c r="M216" s="6" t="n">
        <f aca="false">IF(AND(K216&lt;&gt;"",L216&lt;&gt;""),L216-K216,"")</f>
        <v>8</v>
      </c>
      <c r="N216" s="7" t="n">
        <v>45825</v>
      </c>
      <c r="O216" s="6" t="n">
        <f aca="false">IF(F216="Serious",15,"N/A")</f>
        <v>15</v>
      </c>
      <c r="P216" s="6" t="n">
        <f aca="false">N216-B216</f>
        <v>10</v>
      </c>
      <c r="Q216" s="6" t="str">
        <f aca="false">IF(F216="Serious",IF(P216&lt;=O216,"Yes","No"),"N/A")</f>
        <v>Yes</v>
      </c>
      <c r="R216" s="6" t="str">
        <f aca="false">IF(AND(I216="Yes",L216=""),Dashboard!$B$2-K216,"")</f>
        <v/>
      </c>
    </row>
    <row r="217" customFormat="false" ht="15" hidden="false" customHeight="false" outlineLevel="0" collapsed="false">
      <c r="A217" s="6" t="s">
        <v>314</v>
      </c>
      <c r="B217" s="7" t="n">
        <v>46182</v>
      </c>
      <c r="C217" s="6" t="s">
        <v>49</v>
      </c>
      <c r="D217" s="6" t="s">
        <v>45</v>
      </c>
      <c r="E217" s="6" t="s">
        <v>46</v>
      </c>
      <c r="F217" s="6" t="s">
        <v>40</v>
      </c>
      <c r="G217" s="6" t="s">
        <v>47</v>
      </c>
      <c r="H217" s="6" t="s">
        <v>42</v>
      </c>
      <c r="I217" s="6" t="s">
        <v>43</v>
      </c>
      <c r="J217" s="6"/>
      <c r="K217" s="6"/>
      <c r="L217" s="6"/>
      <c r="M217" s="6" t="str">
        <f aca="false">IF(AND(K217&lt;&gt;"",L217&lt;&gt;""),L217-K217,"")</f>
        <v/>
      </c>
      <c r="N217" s="7" t="n">
        <v>46198</v>
      </c>
      <c r="O217" s="6" t="n">
        <f aca="false">IF(F217="Serious",15,"N/A")</f>
        <v>15</v>
      </c>
      <c r="P217" s="6" t="n">
        <f aca="false">N217-B217</f>
        <v>16</v>
      </c>
      <c r="Q217" s="6" t="str">
        <f aca="false">IF(F217="Serious",IF(P217&lt;=O217,"Yes","No"),"N/A")</f>
        <v>No</v>
      </c>
      <c r="R217" s="6" t="str">
        <f aca="false">IF(AND(I217="Yes",L217=""),Dashboard!$B$2-K217,"")</f>
        <v/>
      </c>
    </row>
    <row r="218" customFormat="false" ht="15" hidden="false" customHeight="false" outlineLevel="0" collapsed="false">
      <c r="A218" s="6" t="s">
        <v>315</v>
      </c>
      <c r="B218" s="7" t="n">
        <v>45956</v>
      </c>
      <c r="C218" s="6" t="s">
        <v>49</v>
      </c>
      <c r="D218" s="6" t="s">
        <v>101</v>
      </c>
      <c r="E218" s="6" t="s">
        <v>124</v>
      </c>
      <c r="F218" s="6" t="s">
        <v>52</v>
      </c>
      <c r="G218" s="6" t="s">
        <v>47</v>
      </c>
      <c r="H218" s="6" t="s">
        <v>129</v>
      </c>
      <c r="I218" s="6" t="s">
        <v>61</v>
      </c>
      <c r="J218" s="6" t="s">
        <v>76</v>
      </c>
      <c r="K218" s="7" t="n">
        <v>45959</v>
      </c>
      <c r="L218" s="7" t="n">
        <v>45967</v>
      </c>
      <c r="M218" s="6" t="n">
        <f aca="false">IF(AND(K218&lt;&gt;"",L218&lt;&gt;""),L218-K218,"")</f>
        <v>8</v>
      </c>
      <c r="N218" s="7" t="n">
        <v>45978</v>
      </c>
      <c r="O218" s="6" t="str">
        <f aca="false">IF(F218="Serious",15,"N/A")</f>
        <v>N/A</v>
      </c>
      <c r="P218" s="6" t="n">
        <f aca="false">N218-B218</f>
        <v>22</v>
      </c>
      <c r="Q218" s="6" t="str">
        <f aca="false">IF(F218="Serious",IF(P218&lt;=O218,"Yes","No"),"N/A")</f>
        <v>N/A</v>
      </c>
      <c r="R218" s="6" t="str">
        <f aca="false">IF(AND(I218="Yes",L218=""),Dashboard!$B$2-K218,"")</f>
        <v/>
      </c>
    </row>
    <row r="219" customFormat="false" ht="15" hidden="false" customHeight="false" outlineLevel="0" collapsed="false">
      <c r="A219" s="6" t="s">
        <v>316</v>
      </c>
      <c r="B219" s="7" t="n">
        <v>45966</v>
      </c>
      <c r="C219" s="6" t="s">
        <v>73</v>
      </c>
      <c r="D219" s="6" t="s">
        <v>69</v>
      </c>
      <c r="E219" s="6" t="s">
        <v>118</v>
      </c>
      <c r="F219" s="6" t="s">
        <v>40</v>
      </c>
      <c r="G219" s="6" t="s">
        <v>59</v>
      </c>
      <c r="H219" s="6" t="s">
        <v>60</v>
      </c>
      <c r="I219" s="6" t="s">
        <v>61</v>
      </c>
      <c r="J219" s="6" t="s">
        <v>89</v>
      </c>
      <c r="K219" s="7" t="n">
        <v>45972</v>
      </c>
      <c r="L219" s="7" t="n">
        <v>45981</v>
      </c>
      <c r="M219" s="6" t="n">
        <f aca="false">IF(AND(K219&lt;&gt;"",L219&lt;&gt;""),L219-K219,"")</f>
        <v>9</v>
      </c>
      <c r="N219" s="7" t="n">
        <v>45977</v>
      </c>
      <c r="O219" s="6" t="n">
        <f aca="false">IF(F219="Serious",15,"N/A")</f>
        <v>15</v>
      </c>
      <c r="P219" s="6" t="n">
        <f aca="false">N219-B219</f>
        <v>11</v>
      </c>
      <c r="Q219" s="6" t="str">
        <f aca="false">IF(F219="Serious",IF(P219&lt;=O219,"Yes","No"),"N/A")</f>
        <v>Yes</v>
      </c>
      <c r="R219" s="6" t="str">
        <f aca="false">IF(AND(I219="Yes",L219=""),Dashboard!$B$2-K219,"")</f>
        <v/>
      </c>
    </row>
    <row r="220" customFormat="false" ht="15" hidden="false" customHeight="false" outlineLevel="0" collapsed="false">
      <c r="A220" s="6" t="s">
        <v>317</v>
      </c>
      <c r="B220" s="7" t="n">
        <v>45858</v>
      </c>
      <c r="C220" s="6" t="s">
        <v>49</v>
      </c>
      <c r="D220" s="6" t="s">
        <v>45</v>
      </c>
      <c r="E220" s="6" t="s">
        <v>46</v>
      </c>
      <c r="F220" s="6" t="s">
        <v>52</v>
      </c>
      <c r="G220" s="6" t="s">
        <v>71</v>
      </c>
      <c r="H220" s="6" t="s">
        <v>60</v>
      </c>
      <c r="I220" s="6" t="s">
        <v>43</v>
      </c>
      <c r="J220" s="6"/>
      <c r="K220" s="6"/>
      <c r="L220" s="6"/>
      <c r="M220" s="6" t="str">
        <f aca="false">IF(AND(K220&lt;&gt;"",L220&lt;&gt;""),L220-K220,"")</f>
        <v/>
      </c>
      <c r="N220" s="7" t="n">
        <v>45914</v>
      </c>
      <c r="O220" s="6" t="str">
        <f aca="false">IF(F220="Serious",15,"N/A")</f>
        <v>N/A</v>
      </c>
      <c r="P220" s="6" t="n">
        <f aca="false">N220-B220</f>
        <v>56</v>
      </c>
      <c r="Q220" s="6" t="str">
        <f aca="false">IF(F220="Serious",IF(P220&lt;=O220,"Yes","No"),"N/A")</f>
        <v>N/A</v>
      </c>
      <c r="R220" s="6" t="str">
        <f aca="false">IF(AND(I220="Yes",L220=""),Dashboard!$B$2-K220,"")</f>
        <v/>
      </c>
    </row>
    <row r="221" customFormat="false" ht="15" hidden="false" customHeight="false" outlineLevel="0" collapsed="false">
      <c r="A221" s="6" t="s">
        <v>318</v>
      </c>
      <c r="B221" s="7" t="n">
        <v>45995</v>
      </c>
      <c r="C221" s="6" t="s">
        <v>49</v>
      </c>
      <c r="D221" s="6" t="s">
        <v>249</v>
      </c>
      <c r="E221" s="6" t="s">
        <v>278</v>
      </c>
      <c r="F221" s="6" t="s">
        <v>52</v>
      </c>
      <c r="G221" s="6" t="s">
        <v>88</v>
      </c>
      <c r="H221" s="6" t="s">
        <v>129</v>
      </c>
      <c r="I221" s="6" t="s">
        <v>61</v>
      </c>
      <c r="J221" s="6" t="s">
        <v>62</v>
      </c>
      <c r="K221" s="7" t="n">
        <v>46005</v>
      </c>
      <c r="L221" s="6"/>
      <c r="M221" s="6" t="str">
        <f aca="false">IF(AND(K221&lt;&gt;"",L221&lt;&gt;""),L221-K221,"")</f>
        <v/>
      </c>
      <c r="N221" s="7" t="n">
        <v>46012</v>
      </c>
      <c r="O221" s="6" t="str">
        <f aca="false">IF(F221="Serious",15,"N/A")</f>
        <v>N/A</v>
      </c>
      <c r="P221" s="6" t="n">
        <f aca="false">N221-B221</f>
        <v>17</v>
      </c>
      <c r="Q221" s="6" t="str">
        <f aca="false">IF(F221="Serious",IF(P221&lt;=O221,"Yes","No"),"N/A")</f>
        <v>N/A</v>
      </c>
      <c r="R221" s="6" t="n">
        <f aca="false">IF(AND(I221="Yes",L221=""),Dashboard!$B$2-K221,"")</f>
        <v>209</v>
      </c>
    </row>
    <row r="222" customFormat="false" ht="15" hidden="false" customHeight="false" outlineLevel="0" collapsed="false">
      <c r="A222" s="6" t="s">
        <v>319</v>
      </c>
      <c r="B222" s="7" t="n">
        <v>46148</v>
      </c>
      <c r="C222" s="6" t="s">
        <v>73</v>
      </c>
      <c r="D222" s="6" t="s">
        <v>82</v>
      </c>
      <c r="E222" s="6" t="s">
        <v>83</v>
      </c>
      <c r="F222" s="6" t="s">
        <v>52</v>
      </c>
      <c r="G222" s="6" t="s">
        <v>53</v>
      </c>
      <c r="H222" s="6" t="s">
        <v>42</v>
      </c>
      <c r="I222" s="6" t="s">
        <v>61</v>
      </c>
      <c r="J222" s="6" t="s">
        <v>76</v>
      </c>
      <c r="K222" s="7" t="n">
        <v>46152</v>
      </c>
      <c r="L222" s="7" t="n">
        <v>46162</v>
      </c>
      <c r="M222" s="6" t="n">
        <f aca="false">IF(AND(K222&lt;&gt;"",L222&lt;&gt;""),L222-K222,"")</f>
        <v>10</v>
      </c>
      <c r="N222" s="7" t="n">
        <v>46203</v>
      </c>
      <c r="O222" s="6" t="str">
        <f aca="false">IF(F222="Serious",15,"N/A")</f>
        <v>N/A</v>
      </c>
      <c r="P222" s="6" t="n">
        <f aca="false">N222-B222</f>
        <v>55</v>
      </c>
      <c r="Q222" s="6" t="str">
        <f aca="false">IF(F222="Serious",IF(P222&lt;=O222,"Yes","No"),"N/A")</f>
        <v>N/A</v>
      </c>
      <c r="R222" s="6" t="str">
        <f aca="false">IF(AND(I222="Yes",L222=""),Dashboard!$B$2-K222,"")</f>
        <v/>
      </c>
    </row>
    <row r="223" customFormat="false" ht="15" hidden="false" customHeight="false" outlineLevel="0" collapsed="false">
      <c r="A223" s="6" t="s">
        <v>320</v>
      </c>
      <c r="B223" s="7" t="n">
        <v>46060</v>
      </c>
      <c r="C223" s="6" t="s">
        <v>73</v>
      </c>
      <c r="D223" s="6" t="s">
        <v>45</v>
      </c>
      <c r="E223" s="6" t="s">
        <v>91</v>
      </c>
      <c r="F223" s="6" t="s">
        <v>40</v>
      </c>
      <c r="G223" s="6" t="s">
        <v>121</v>
      </c>
      <c r="H223" s="6" t="s">
        <v>60</v>
      </c>
      <c r="I223" s="6" t="s">
        <v>43</v>
      </c>
      <c r="J223" s="6"/>
      <c r="K223" s="6"/>
      <c r="L223" s="6"/>
      <c r="M223" s="6" t="str">
        <f aca="false">IF(AND(K223&lt;&gt;"",L223&lt;&gt;""),L223-K223,"")</f>
        <v/>
      </c>
      <c r="N223" s="7" t="n">
        <v>46073</v>
      </c>
      <c r="O223" s="6" t="n">
        <f aca="false">IF(F223="Serious",15,"N/A")</f>
        <v>15</v>
      </c>
      <c r="P223" s="6" t="n">
        <f aca="false">N223-B223</f>
        <v>13</v>
      </c>
      <c r="Q223" s="6" t="str">
        <f aca="false">IF(F223="Serious",IF(P223&lt;=O223,"Yes","No"),"N/A")</f>
        <v>Yes</v>
      </c>
      <c r="R223" s="6" t="str">
        <f aca="false">IF(AND(I223="Yes",L223=""),Dashboard!$B$2-K223,"")</f>
        <v/>
      </c>
    </row>
    <row r="224" customFormat="false" ht="15" hidden="false" customHeight="false" outlineLevel="0" collapsed="false">
      <c r="A224" s="6" t="s">
        <v>321</v>
      </c>
      <c r="B224" s="7" t="n">
        <v>46130</v>
      </c>
      <c r="C224" s="6" t="s">
        <v>56</v>
      </c>
      <c r="D224" s="6" t="s">
        <v>69</v>
      </c>
      <c r="E224" s="6" t="s">
        <v>70</v>
      </c>
      <c r="F224" s="6" t="s">
        <v>52</v>
      </c>
      <c r="G224" s="6" t="s">
        <v>53</v>
      </c>
      <c r="H224" s="6" t="s">
        <v>54</v>
      </c>
      <c r="I224" s="6" t="s">
        <v>43</v>
      </c>
      <c r="J224" s="6"/>
      <c r="K224" s="6"/>
      <c r="L224" s="6"/>
      <c r="M224" s="6" t="str">
        <f aca="false">IF(AND(K224&lt;&gt;"",L224&lt;&gt;""),L224-K224,"")</f>
        <v/>
      </c>
      <c r="N224" s="7" t="n">
        <v>46178</v>
      </c>
      <c r="O224" s="6" t="str">
        <f aca="false">IF(F224="Serious",15,"N/A")</f>
        <v>N/A</v>
      </c>
      <c r="P224" s="6" t="n">
        <f aca="false">N224-B224</f>
        <v>48</v>
      </c>
      <c r="Q224" s="6" t="str">
        <f aca="false">IF(F224="Serious",IF(P224&lt;=O224,"Yes","No"),"N/A")</f>
        <v>N/A</v>
      </c>
      <c r="R224" s="6" t="str">
        <f aca="false">IF(AND(I224="Yes",L224=""),Dashboard!$B$2-K224,"")</f>
        <v/>
      </c>
    </row>
    <row r="225" customFormat="false" ht="15" hidden="false" customHeight="false" outlineLevel="0" collapsed="false">
      <c r="A225" s="6" t="s">
        <v>322</v>
      </c>
      <c r="B225" s="7" t="n">
        <v>46169</v>
      </c>
      <c r="C225" s="6" t="s">
        <v>56</v>
      </c>
      <c r="D225" s="6" t="s">
        <v>38</v>
      </c>
      <c r="E225" s="6" t="s">
        <v>39</v>
      </c>
      <c r="F225" s="6" t="s">
        <v>52</v>
      </c>
      <c r="G225" s="6" t="s">
        <v>53</v>
      </c>
      <c r="H225" s="6" t="s">
        <v>60</v>
      </c>
      <c r="I225" s="6" t="s">
        <v>61</v>
      </c>
      <c r="J225" s="6" t="s">
        <v>74</v>
      </c>
      <c r="K225" s="7" t="n">
        <v>46179</v>
      </c>
      <c r="L225" s="7" t="n">
        <v>46192</v>
      </c>
      <c r="M225" s="6" t="n">
        <f aca="false">IF(AND(K225&lt;&gt;"",L225&lt;&gt;""),L225-K225,"")</f>
        <v>13</v>
      </c>
      <c r="N225" s="7" t="n">
        <v>46206</v>
      </c>
      <c r="O225" s="6" t="str">
        <f aca="false">IF(F225="Serious",15,"N/A")</f>
        <v>N/A</v>
      </c>
      <c r="P225" s="6" t="n">
        <f aca="false">N225-B225</f>
        <v>37</v>
      </c>
      <c r="Q225" s="6" t="str">
        <f aca="false">IF(F225="Serious",IF(P225&lt;=O225,"Yes","No"),"N/A")</f>
        <v>N/A</v>
      </c>
      <c r="R225" s="6" t="str">
        <f aca="false">IF(AND(I225="Yes",L225=""),Dashboard!$B$2-K225,"")</f>
        <v/>
      </c>
    </row>
    <row r="226" customFormat="false" ht="15" hidden="false" customHeight="false" outlineLevel="0" collapsed="false">
      <c r="A226" s="6" t="s">
        <v>323</v>
      </c>
      <c r="B226" s="7" t="n">
        <v>46086</v>
      </c>
      <c r="C226" s="6" t="s">
        <v>64</v>
      </c>
      <c r="D226" s="6" t="s">
        <v>79</v>
      </c>
      <c r="E226" s="6" t="s">
        <v>112</v>
      </c>
      <c r="F226" s="6" t="s">
        <v>52</v>
      </c>
      <c r="G226" s="6" t="s">
        <v>88</v>
      </c>
      <c r="H226" s="6" t="s">
        <v>42</v>
      </c>
      <c r="I226" s="6" t="s">
        <v>43</v>
      </c>
      <c r="J226" s="6"/>
      <c r="K226" s="6"/>
      <c r="L226" s="6"/>
      <c r="M226" s="6" t="str">
        <f aca="false">IF(AND(K226&lt;&gt;"",L226&lt;&gt;""),L226-K226,"")</f>
        <v/>
      </c>
      <c r="N226" s="7" t="n">
        <v>46097</v>
      </c>
      <c r="O226" s="6" t="str">
        <f aca="false">IF(F226="Serious",15,"N/A")</f>
        <v>N/A</v>
      </c>
      <c r="P226" s="6" t="n">
        <f aca="false">N226-B226</f>
        <v>11</v>
      </c>
      <c r="Q226" s="6" t="str">
        <f aca="false">IF(F226="Serious",IF(P226&lt;=O226,"Yes","No"),"N/A")</f>
        <v>N/A</v>
      </c>
      <c r="R226" s="6" t="str">
        <f aca="false">IF(AND(I226="Yes",L226=""),Dashboard!$B$2-K226,"")</f>
        <v/>
      </c>
    </row>
    <row r="227" customFormat="false" ht="15" hidden="false" customHeight="false" outlineLevel="0" collapsed="false">
      <c r="A227" s="6" t="s">
        <v>324</v>
      </c>
      <c r="B227" s="7" t="n">
        <v>45912</v>
      </c>
      <c r="C227" s="6" t="s">
        <v>73</v>
      </c>
      <c r="D227" s="6" t="s">
        <v>82</v>
      </c>
      <c r="E227" s="6" t="s">
        <v>193</v>
      </c>
      <c r="F227" s="6" t="s">
        <v>52</v>
      </c>
      <c r="G227" s="6" t="s">
        <v>47</v>
      </c>
      <c r="H227" s="6" t="s">
        <v>42</v>
      </c>
      <c r="I227" s="6" t="s">
        <v>43</v>
      </c>
      <c r="J227" s="6"/>
      <c r="K227" s="6"/>
      <c r="L227" s="6"/>
      <c r="M227" s="6" t="str">
        <f aca="false">IF(AND(K227&lt;&gt;"",L227&lt;&gt;""),L227-K227,"")</f>
        <v/>
      </c>
      <c r="N227" s="7" t="n">
        <v>45965</v>
      </c>
      <c r="O227" s="6" t="str">
        <f aca="false">IF(F227="Serious",15,"N/A")</f>
        <v>N/A</v>
      </c>
      <c r="P227" s="6" t="n">
        <f aca="false">N227-B227</f>
        <v>53</v>
      </c>
      <c r="Q227" s="6" t="str">
        <f aca="false">IF(F227="Serious",IF(P227&lt;=O227,"Yes","No"),"N/A")</f>
        <v>N/A</v>
      </c>
      <c r="R227" s="6" t="str">
        <f aca="false">IF(AND(I227="Yes",L227=""),Dashboard!$B$2-K227,"")</f>
        <v/>
      </c>
    </row>
    <row r="228" customFormat="false" ht="15" hidden="false" customHeight="false" outlineLevel="0" collapsed="false">
      <c r="A228" s="6" t="s">
        <v>325</v>
      </c>
      <c r="B228" s="7" t="n">
        <v>45997</v>
      </c>
      <c r="C228" s="6" t="s">
        <v>49</v>
      </c>
      <c r="D228" s="6" t="s">
        <v>45</v>
      </c>
      <c r="E228" s="6" t="s">
        <v>46</v>
      </c>
      <c r="F228" s="6" t="s">
        <v>40</v>
      </c>
      <c r="G228" s="6" t="s">
        <v>53</v>
      </c>
      <c r="H228" s="6" t="s">
        <v>42</v>
      </c>
      <c r="I228" s="6" t="s">
        <v>61</v>
      </c>
      <c r="J228" s="6" t="s">
        <v>126</v>
      </c>
      <c r="K228" s="7" t="n">
        <v>46007</v>
      </c>
      <c r="L228" s="7" t="n">
        <v>46020</v>
      </c>
      <c r="M228" s="6" t="n">
        <f aca="false">IF(AND(K228&lt;&gt;"",L228&lt;&gt;""),L228-K228,"")</f>
        <v>13</v>
      </c>
      <c r="N228" s="7" t="n">
        <v>46009</v>
      </c>
      <c r="O228" s="6" t="n">
        <f aca="false">IF(F228="Serious",15,"N/A")</f>
        <v>15</v>
      </c>
      <c r="P228" s="6" t="n">
        <f aca="false">N228-B228</f>
        <v>12</v>
      </c>
      <c r="Q228" s="6" t="str">
        <f aca="false">IF(F228="Serious",IF(P228&lt;=O228,"Yes","No"),"N/A")</f>
        <v>Yes</v>
      </c>
      <c r="R228" s="6" t="str">
        <f aca="false">IF(AND(I228="Yes",L228=""),Dashboard!$B$2-K228,"")</f>
        <v/>
      </c>
    </row>
    <row r="229" customFormat="false" ht="15" hidden="false" customHeight="false" outlineLevel="0" collapsed="false">
      <c r="A229" s="6" t="s">
        <v>326</v>
      </c>
      <c r="B229" s="7" t="n">
        <v>46170</v>
      </c>
      <c r="C229" s="6" t="s">
        <v>56</v>
      </c>
      <c r="D229" s="6" t="s">
        <v>249</v>
      </c>
      <c r="E229" s="6" t="s">
        <v>250</v>
      </c>
      <c r="F229" s="6" t="s">
        <v>52</v>
      </c>
      <c r="G229" s="6" t="s">
        <v>53</v>
      </c>
      <c r="H229" s="6" t="s">
        <v>54</v>
      </c>
      <c r="I229" s="6" t="s">
        <v>61</v>
      </c>
      <c r="J229" s="6" t="s">
        <v>126</v>
      </c>
      <c r="K229" s="7" t="n">
        <v>46173</v>
      </c>
      <c r="L229" s="7" t="n">
        <v>46185</v>
      </c>
      <c r="M229" s="6" t="n">
        <f aca="false">IF(AND(K229&lt;&gt;"",L229&lt;&gt;""),L229-K229,"")</f>
        <v>12</v>
      </c>
      <c r="N229" s="7" t="n">
        <v>46225</v>
      </c>
      <c r="O229" s="6" t="str">
        <f aca="false">IF(F229="Serious",15,"N/A")</f>
        <v>N/A</v>
      </c>
      <c r="P229" s="6" t="n">
        <f aca="false">N229-B229</f>
        <v>55</v>
      </c>
      <c r="Q229" s="6" t="str">
        <f aca="false">IF(F229="Serious",IF(P229&lt;=O229,"Yes","No"),"N/A")</f>
        <v>N/A</v>
      </c>
      <c r="R229" s="6" t="str">
        <f aca="false">IF(AND(I229="Yes",L229=""),Dashboard!$B$2-K229,"")</f>
        <v/>
      </c>
    </row>
    <row r="230" customFormat="false" ht="15" hidden="false" customHeight="false" outlineLevel="0" collapsed="false">
      <c r="A230" s="6" t="s">
        <v>327</v>
      </c>
      <c r="B230" s="7" t="n">
        <v>45869</v>
      </c>
      <c r="C230" s="6" t="s">
        <v>64</v>
      </c>
      <c r="D230" s="6" t="s">
        <v>69</v>
      </c>
      <c r="E230" s="6" t="s">
        <v>70</v>
      </c>
      <c r="F230" s="6" t="s">
        <v>52</v>
      </c>
      <c r="G230" s="6" t="s">
        <v>59</v>
      </c>
      <c r="H230" s="6" t="s">
        <v>42</v>
      </c>
      <c r="I230" s="6" t="s">
        <v>61</v>
      </c>
      <c r="J230" s="6" t="s">
        <v>62</v>
      </c>
      <c r="K230" s="7" t="n">
        <v>45870</v>
      </c>
      <c r="L230" s="6"/>
      <c r="M230" s="6" t="str">
        <f aca="false">IF(AND(K230&lt;&gt;"",L230&lt;&gt;""),L230-K230,"")</f>
        <v/>
      </c>
      <c r="N230" s="7" t="n">
        <v>45881</v>
      </c>
      <c r="O230" s="6" t="str">
        <f aca="false">IF(F230="Serious",15,"N/A")</f>
        <v>N/A</v>
      </c>
      <c r="P230" s="6" t="n">
        <f aca="false">N230-B230</f>
        <v>12</v>
      </c>
      <c r="Q230" s="6" t="str">
        <f aca="false">IF(F230="Serious",IF(P230&lt;=O230,"Yes","No"),"N/A")</f>
        <v>N/A</v>
      </c>
      <c r="R230" s="6" t="n">
        <f aca="false">IF(AND(I230="Yes",L230=""),Dashboard!$B$2-K230,"")</f>
        <v>344</v>
      </c>
    </row>
    <row r="231" customFormat="false" ht="15" hidden="false" customHeight="false" outlineLevel="0" collapsed="false">
      <c r="A231" s="6" t="s">
        <v>328</v>
      </c>
      <c r="B231" s="7" t="n">
        <v>45681</v>
      </c>
      <c r="C231" s="6" t="s">
        <v>73</v>
      </c>
      <c r="D231" s="6" t="s">
        <v>45</v>
      </c>
      <c r="E231" s="6" t="s">
        <v>91</v>
      </c>
      <c r="F231" s="6" t="s">
        <v>52</v>
      </c>
      <c r="G231" s="6" t="s">
        <v>71</v>
      </c>
      <c r="H231" s="6" t="s">
        <v>42</v>
      </c>
      <c r="I231" s="6" t="s">
        <v>61</v>
      </c>
      <c r="J231" s="6" t="s">
        <v>76</v>
      </c>
      <c r="K231" s="7" t="n">
        <v>45684</v>
      </c>
      <c r="L231" s="7" t="n">
        <v>45698</v>
      </c>
      <c r="M231" s="6" t="n">
        <f aca="false">IF(AND(K231&lt;&gt;"",L231&lt;&gt;""),L231-K231,"")</f>
        <v>14</v>
      </c>
      <c r="N231" s="7" t="n">
        <v>45715</v>
      </c>
      <c r="O231" s="6" t="str">
        <f aca="false">IF(F231="Serious",15,"N/A")</f>
        <v>N/A</v>
      </c>
      <c r="P231" s="6" t="n">
        <f aca="false">N231-B231</f>
        <v>34</v>
      </c>
      <c r="Q231" s="6" t="str">
        <f aca="false">IF(F231="Serious",IF(P231&lt;=O231,"Yes","No"),"N/A")</f>
        <v>N/A</v>
      </c>
      <c r="R231" s="6" t="str">
        <f aca="false">IF(AND(I231="Yes",L231=""),Dashboard!$B$2-K231,"")</f>
        <v/>
      </c>
    </row>
    <row r="232" customFormat="false" ht="15" hidden="false" customHeight="false" outlineLevel="0" collapsed="false">
      <c r="A232" s="6" t="s">
        <v>329</v>
      </c>
      <c r="B232" s="7" t="n">
        <v>45895</v>
      </c>
      <c r="C232" s="6" t="s">
        <v>49</v>
      </c>
      <c r="D232" s="6" t="s">
        <v>82</v>
      </c>
      <c r="E232" s="6" t="s">
        <v>116</v>
      </c>
      <c r="F232" s="6" t="s">
        <v>52</v>
      </c>
      <c r="G232" s="6" t="s">
        <v>59</v>
      </c>
      <c r="H232" s="6" t="s">
        <v>60</v>
      </c>
      <c r="I232" s="6" t="s">
        <v>43</v>
      </c>
      <c r="J232" s="6"/>
      <c r="K232" s="6"/>
      <c r="L232" s="6"/>
      <c r="M232" s="6" t="str">
        <f aca="false">IF(AND(K232&lt;&gt;"",L232&lt;&gt;""),L232-K232,"")</f>
        <v/>
      </c>
      <c r="N232" s="7" t="n">
        <v>45912</v>
      </c>
      <c r="O232" s="6" t="str">
        <f aca="false">IF(F232="Serious",15,"N/A")</f>
        <v>N/A</v>
      </c>
      <c r="P232" s="6" t="n">
        <f aca="false">N232-B232</f>
        <v>17</v>
      </c>
      <c r="Q232" s="6" t="str">
        <f aca="false">IF(F232="Serious",IF(P232&lt;=O232,"Yes","No"),"N/A")</f>
        <v>N/A</v>
      </c>
      <c r="R232" s="6" t="str">
        <f aca="false">IF(AND(I232="Yes",L232=""),Dashboard!$B$2-K232,"")</f>
        <v/>
      </c>
    </row>
    <row r="233" customFormat="false" ht="15" hidden="false" customHeight="false" outlineLevel="0" collapsed="false">
      <c r="A233" s="6" t="s">
        <v>330</v>
      </c>
      <c r="B233" s="7" t="n">
        <v>46118</v>
      </c>
      <c r="C233" s="6" t="s">
        <v>64</v>
      </c>
      <c r="D233" s="6" t="s">
        <v>101</v>
      </c>
      <c r="E233" s="6" t="s">
        <v>102</v>
      </c>
      <c r="F233" s="6" t="s">
        <v>40</v>
      </c>
      <c r="G233" s="6" t="s">
        <v>53</v>
      </c>
      <c r="H233" s="6" t="s">
        <v>60</v>
      </c>
      <c r="I233" s="6" t="s">
        <v>43</v>
      </c>
      <c r="J233" s="6"/>
      <c r="K233" s="6"/>
      <c r="L233" s="6"/>
      <c r="M233" s="6" t="str">
        <f aca="false">IF(AND(K233&lt;&gt;"",L233&lt;&gt;""),L233-K233,"")</f>
        <v/>
      </c>
      <c r="N233" s="7" t="n">
        <v>46129</v>
      </c>
      <c r="O233" s="6" t="n">
        <f aca="false">IF(F233="Serious",15,"N/A")</f>
        <v>15</v>
      </c>
      <c r="P233" s="6" t="n">
        <f aca="false">N233-B233</f>
        <v>11</v>
      </c>
      <c r="Q233" s="6" t="str">
        <f aca="false">IF(F233="Serious",IF(P233&lt;=O233,"Yes","No"),"N/A")</f>
        <v>Yes</v>
      </c>
      <c r="R233" s="6" t="str">
        <f aca="false">IF(AND(I233="Yes",L233=""),Dashboard!$B$2-K233,"")</f>
        <v/>
      </c>
    </row>
    <row r="234" customFormat="false" ht="15" hidden="false" customHeight="false" outlineLevel="0" collapsed="false">
      <c r="A234" s="6" t="s">
        <v>331</v>
      </c>
      <c r="B234" s="7" t="n">
        <v>45762</v>
      </c>
      <c r="C234" s="6" t="s">
        <v>64</v>
      </c>
      <c r="D234" s="6" t="s">
        <v>82</v>
      </c>
      <c r="E234" s="6" t="s">
        <v>83</v>
      </c>
      <c r="F234" s="6" t="s">
        <v>52</v>
      </c>
      <c r="G234" s="6" t="s">
        <v>59</v>
      </c>
      <c r="H234" s="6" t="s">
        <v>60</v>
      </c>
      <c r="I234" s="6" t="s">
        <v>43</v>
      </c>
      <c r="J234" s="6"/>
      <c r="K234" s="6"/>
      <c r="L234" s="6"/>
      <c r="M234" s="6" t="str">
        <f aca="false">IF(AND(K234&lt;&gt;"",L234&lt;&gt;""),L234-K234,"")</f>
        <v/>
      </c>
      <c r="N234" s="7" t="n">
        <v>45800</v>
      </c>
      <c r="O234" s="6" t="str">
        <f aca="false">IF(F234="Serious",15,"N/A")</f>
        <v>N/A</v>
      </c>
      <c r="P234" s="6" t="n">
        <f aca="false">N234-B234</f>
        <v>38</v>
      </c>
      <c r="Q234" s="6" t="str">
        <f aca="false">IF(F234="Serious",IF(P234&lt;=O234,"Yes","No"),"N/A")</f>
        <v>N/A</v>
      </c>
      <c r="R234" s="6" t="str">
        <f aca="false">IF(AND(I234="Yes",L234=""),Dashboard!$B$2-K234,"")</f>
        <v/>
      </c>
    </row>
    <row r="235" customFormat="false" ht="15" hidden="false" customHeight="false" outlineLevel="0" collapsed="false">
      <c r="A235" s="6" t="s">
        <v>332</v>
      </c>
      <c r="B235" s="7" t="n">
        <v>45978</v>
      </c>
      <c r="C235" s="6" t="s">
        <v>64</v>
      </c>
      <c r="D235" s="6" t="s">
        <v>101</v>
      </c>
      <c r="E235" s="6" t="s">
        <v>132</v>
      </c>
      <c r="F235" s="6" t="s">
        <v>52</v>
      </c>
      <c r="G235" s="6" t="s">
        <v>53</v>
      </c>
      <c r="H235" s="6" t="s">
        <v>60</v>
      </c>
      <c r="I235" s="6" t="s">
        <v>61</v>
      </c>
      <c r="J235" s="6" t="s">
        <v>98</v>
      </c>
      <c r="K235" s="7" t="n">
        <v>45983</v>
      </c>
      <c r="L235" s="6"/>
      <c r="M235" s="6" t="str">
        <f aca="false">IF(AND(K235&lt;&gt;"",L235&lt;&gt;""),L235-K235,"")</f>
        <v/>
      </c>
      <c r="N235" s="7" t="n">
        <v>46020</v>
      </c>
      <c r="O235" s="6" t="str">
        <f aca="false">IF(F235="Serious",15,"N/A")</f>
        <v>N/A</v>
      </c>
      <c r="P235" s="6" t="n">
        <f aca="false">N235-B235</f>
        <v>42</v>
      </c>
      <c r="Q235" s="6" t="str">
        <f aca="false">IF(F235="Serious",IF(P235&lt;=O235,"Yes","No"),"N/A")</f>
        <v>N/A</v>
      </c>
      <c r="R235" s="6" t="n">
        <f aca="false">IF(AND(I235="Yes",L235=""),Dashboard!$B$2-K235,"")</f>
        <v>231</v>
      </c>
    </row>
    <row r="236" customFormat="false" ht="15" hidden="false" customHeight="false" outlineLevel="0" collapsed="false">
      <c r="A236" s="6" t="s">
        <v>333</v>
      </c>
      <c r="B236" s="7" t="n">
        <v>45744</v>
      </c>
      <c r="C236" s="6" t="s">
        <v>56</v>
      </c>
      <c r="D236" s="6" t="s">
        <v>249</v>
      </c>
      <c r="E236" s="6" t="s">
        <v>250</v>
      </c>
      <c r="F236" s="6" t="s">
        <v>40</v>
      </c>
      <c r="G236" s="6" t="s">
        <v>53</v>
      </c>
      <c r="H236" s="6" t="s">
        <v>60</v>
      </c>
      <c r="I236" s="6" t="s">
        <v>61</v>
      </c>
      <c r="J236" s="6" t="s">
        <v>74</v>
      </c>
      <c r="K236" s="7" t="n">
        <v>45751</v>
      </c>
      <c r="L236" s="7" t="n">
        <v>45769</v>
      </c>
      <c r="M236" s="6" t="n">
        <f aca="false">IF(AND(K236&lt;&gt;"",L236&lt;&gt;""),L236-K236,"")</f>
        <v>18</v>
      </c>
      <c r="N236" s="7" t="n">
        <v>45753</v>
      </c>
      <c r="O236" s="6" t="n">
        <f aca="false">IF(F236="Serious",15,"N/A")</f>
        <v>15</v>
      </c>
      <c r="P236" s="6" t="n">
        <f aca="false">N236-B236</f>
        <v>9</v>
      </c>
      <c r="Q236" s="6" t="str">
        <f aca="false">IF(F236="Serious",IF(P236&lt;=O236,"Yes","No"),"N/A")</f>
        <v>Yes</v>
      </c>
      <c r="R236" s="6" t="str">
        <f aca="false">IF(AND(I236="Yes",L236=""),Dashboard!$B$2-K236,"")</f>
        <v/>
      </c>
    </row>
    <row r="237" customFormat="false" ht="15" hidden="false" customHeight="false" outlineLevel="0" collapsed="false">
      <c r="A237" s="6" t="s">
        <v>334</v>
      </c>
      <c r="B237" s="7" t="n">
        <v>45835</v>
      </c>
      <c r="C237" s="6" t="s">
        <v>64</v>
      </c>
      <c r="D237" s="6" t="s">
        <v>82</v>
      </c>
      <c r="E237" s="6" t="s">
        <v>83</v>
      </c>
      <c r="F237" s="6" t="s">
        <v>52</v>
      </c>
      <c r="G237" s="6" t="s">
        <v>53</v>
      </c>
      <c r="H237" s="6" t="s">
        <v>54</v>
      </c>
      <c r="I237" s="6" t="s">
        <v>43</v>
      </c>
      <c r="J237" s="6"/>
      <c r="K237" s="6"/>
      <c r="L237" s="6"/>
      <c r="M237" s="6" t="str">
        <f aca="false">IF(AND(K237&lt;&gt;"",L237&lt;&gt;""),L237-K237,"")</f>
        <v/>
      </c>
      <c r="N237" s="7" t="n">
        <v>45895</v>
      </c>
      <c r="O237" s="6" t="str">
        <f aca="false">IF(F237="Serious",15,"N/A")</f>
        <v>N/A</v>
      </c>
      <c r="P237" s="6" t="n">
        <f aca="false">N237-B237</f>
        <v>60</v>
      </c>
      <c r="Q237" s="6" t="str">
        <f aca="false">IF(F237="Serious",IF(P237&lt;=O237,"Yes","No"),"N/A")</f>
        <v>N/A</v>
      </c>
      <c r="R237" s="6" t="str">
        <f aca="false">IF(AND(I237="Yes",L237=""),Dashboard!$B$2-K237,"")</f>
        <v/>
      </c>
    </row>
    <row r="238" customFormat="false" ht="15" hidden="false" customHeight="false" outlineLevel="0" collapsed="false">
      <c r="A238" s="6" t="s">
        <v>335</v>
      </c>
      <c r="B238" s="7" t="n">
        <v>46025</v>
      </c>
      <c r="C238" s="6" t="s">
        <v>37</v>
      </c>
      <c r="D238" s="6" t="s">
        <v>69</v>
      </c>
      <c r="E238" s="6" t="s">
        <v>118</v>
      </c>
      <c r="F238" s="6" t="s">
        <v>40</v>
      </c>
      <c r="G238" s="6" t="s">
        <v>59</v>
      </c>
      <c r="H238" s="6" t="s">
        <v>42</v>
      </c>
      <c r="I238" s="6" t="s">
        <v>43</v>
      </c>
      <c r="J238" s="6"/>
      <c r="K238" s="6"/>
      <c r="L238" s="6"/>
      <c r="M238" s="6" t="str">
        <f aca="false">IF(AND(K238&lt;&gt;"",L238&lt;&gt;""),L238-K238,"")</f>
        <v/>
      </c>
      <c r="N238" s="7" t="n">
        <v>46034</v>
      </c>
      <c r="O238" s="6" t="n">
        <f aca="false">IF(F238="Serious",15,"N/A")</f>
        <v>15</v>
      </c>
      <c r="P238" s="6" t="n">
        <f aca="false">N238-B238</f>
        <v>9</v>
      </c>
      <c r="Q238" s="6" t="str">
        <f aca="false">IF(F238="Serious",IF(P238&lt;=O238,"Yes","No"),"N/A")</f>
        <v>Yes</v>
      </c>
      <c r="R238" s="6" t="str">
        <f aca="false">IF(AND(I238="Yes",L238=""),Dashboard!$B$2-K238,"")</f>
        <v/>
      </c>
    </row>
    <row r="239" customFormat="false" ht="15" hidden="false" customHeight="false" outlineLevel="0" collapsed="false">
      <c r="A239" s="6" t="s">
        <v>336</v>
      </c>
      <c r="B239" s="7" t="n">
        <v>46083</v>
      </c>
      <c r="C239" s="6" t="s">
        <v>49</v>
      </c>
      <c r="D239" s="6" t="s">
        <v>69</v>
      </c>
      <c r="E239" s="6" t="s">
        <v>118</v>
      </c>
      <c r="F239" s="6" t="s">
        <v>40</v>
      </c>
      <c r="G239" s="6" t="s">
        <v>53</v>
      </c>
      <c r="H239" s="6" t="s">
        <v>42</v>
      </c>
      <c r="I239" s="6" t="s">
        <v>61</v>
      </c>
      <c r="J239" s="6" t="s">
        <v>62</v>
      </c>
      <c r="K239" s="7" t="n">
        <v>46087</v>
      </c>
      <c r="L239" s="7" t="n">
        <v>46095</v>
      </c>
      <c r="M239" s="6" t="n">
        <f aca="false">IF(AND(K239&lt;&gt;"",L239&lt;&gt;""),L239-K239,"")</f>
        <v>8</v>
      </c>
      <c r="N239" s="7" t="n">
        <v>46096</v>
      </c>
      <c r="O239" s="6" t="n">
        <f aca="false">IF(F239="Serious",15,"N/A")</f>
        <v>15</v>
      </c>
      <c r="P239" s="6" t="n">
        <f aca="false">N239-B239</f>
        <v>13</v>
      </c>
      <c r="Q239" s="6" t="str">
        <f aca="false">IF(F239="Serious",IF(P239&lt;=O239,"Yes","No"),"N/A")</f>
        <v>Yes</v>
      </c>
      <c r="R239" s="6" t="str">
        <f aca="false">IF(AND(I239="Yes",L239=""),Dashboard!$B$2-K239,"")</f>
        <v/>
      </c>
    </row>
    <row r="240" customFormat="false" ht="15" hidden="false" customHeight="false" outlineLevel="0" collapsed="false">
      <c r="A240" s="6" t="s">
        <v>337</v>
      </c>
      <c r="B240" s="7" t="n">
        <v>46165</v>
      </c>
      <c r="C240" s="6" t="s">
        <v>64</v>
      </c>
      <c r="D240" s="6" t="s">
        <v>85</v>
      </c>
      <c r="E240" s="6" t="s">
        <v>86</v>
      </c>
      <c r="F240" s="6" t="s">
        <v>52</v>
      </c>
      <c r="G240" s="6" t="s">
        <v>53</v>
      </c>
      <c r="H240" s="6" t="s">
        <v>42</v>
      </c>
      <c r="I240" s="6" t="s">
        <v>43</v>
      </c>
      <c r="J240" s="6"/>
      <c r="K240" s="6"/>
      <c r="L240" s="6"/>
      <c r="M240" s="6" t="str">
        <f aca="false">IF(AND(K240&lt;&gt;"",L240&lt;&gt;""),L240-K240,"")</f>
        <v/>
      </c>
      <c r="N240" s="7" t="n">
        <v>46204</v>
      </c>
      <c r="O240" s="6" t="str">
        <f aca="false">IF(F240="Serious",15,"N/A")</f>
        <v>N/A</v>
      </c>
      <c r="P240" s="6" t="n">
        <f aca="false">N240-B240</f>
        <v>39</v>
      </c>
      <c r="Q240" s="6" t="str">
        <f aca="false">IF(F240="Serious",IF(P240&lt;=O240,"Yes","No"),"N/A")</f>
        <v>N/A</v>
      </c>
      <c r="R240" s="6" t="str">
        <f aca="false">IF(AND(I240="Yes",L240=""),Dashboard!$B$2-K240,"")</f>
        <v/>
      </c>
    </row>
    <row r="241" customFormat="false" ht="15" hidden="false" customHeight="false" outlineLevel="0" collapsed="false">
      <c r="A241" s="6" t="s">
        <v>338</v>
      </c>
      <c r="B241" s="7" t="n">
        <v>45700</v>
      </c>
      <c r="C241" s="6" t="s">
        <v>49</v>
      </c>
      <c r="D241" s="6" t="s">
        <v>85</v>
      </c>
      <c r="E241" s="6" t="s">
        <v>86</v>
      </c>
      <c r="F241" s="6" t="s">
        <v>52</v>
      </c>
      <c r="G241" s="6" t="s">
        <v>53</v>
      </c>
      <c r="H241" s="6" t="s">
        <v>54</v>
      </c>
      <c r="I241" s="6" t="s">
        <v>43</v>
      </c>
      <c r="J241" s="6"/>
      <c r="K241" s="6"/>
      <c r="L241" s="6"/>
      <c r="M241" s="6" t="str">
        <f aca="false">IF(AND(K241&lt;&gt;"",L241&lt;&gt;""),L241-K241,"")</f>
        <v/>
      </c>
      <c r="N241" s="7" t="n">
        <v>45724</v>
      </c>
      <c r="O241" s="6" t="str">
        <f aca="false">IF(F241="Serious",15,"N/A")</f>
        <v>N/A</v>
      </c>
      <c r="P241" s="6" t="n">
        <f aca="false">N241-B241</f>
        <v>24</v>
      </c>
      <c r="Q241" s="6" t="str">
        <f aca="false">IF(F241="Serious",IF(P241&lt;=O241,"Yes","No"),"N/A")</f>
        <v>N/A</v>
      </c>
      <c r="R241" s="6" t="str">
        <f aca="false">IF(AND(I241="Yes",L241=""),Dashboard!$B$2-K241,"")</f>
        <v/>
      </c>
    </row>
    <row r="242" customFormat="false" ht="15" hidden="false" customHeight="false" outlineLevel="0" collapsed="false">
      <c r="A242" s="6" t="s">
        <v>339</v>
      </c>
      <c r="B242" s="7" t="n">
        <v>45691</v>
      </c>
      <c r="C242" s="6" t="s">
        <v>49</v>
      </c>
      <c r="D242" s="6" t="s">
        <v>38</v>
      </c>
      <c r="E242" s="6" t="s">
        <v>65</v>
      </c>
      <c r="F242" s="6" t="s">
        <v>52</v>
      </c>
      <c r="G242" s="6" t="s">
        <v>53</v>
      </c>
      <c r="H242" s="6" t="s">
        <v>54</v>
      </c>
      <c r="I242" s="6" t="s">
        <v>61</v>
      </c>
      <c r="J242" s="6" t="s">
        <v>98</v>
      </c>
      <c r="K242" s="7" t="n">
        <v>45695</v>
      </c>
      <c r="L242" s="6"/>
      <c r="M242" s="6" t="str">
        <f aca="false">IF(AND(K242&lt;&gt;"",L242&lt;&gt;""),L242-K242,"")</f>
        <v/>
      </c>
      <c r="N242" s="7" t="n">
        <v>45733</v>
      </c>
      <c r="O242" s="6" t="str">
        <f aca="false">IF(F242="Serious",15,"N/A")</f>
        <v>N/A</v>
      </c>
      <c r="P242" s="6" t="n">
        <f aca="false">N242-B242</f>
        <v>42</v>
      </c>
      <c r="Q242" s="6" t="str">
        <f aca="false">IF(F242="Serious",IF(P242&lt;=O242,"Yes","No"),"N/A")</f>
        <v>N/A</v>
      </c>
      <c r="R242" s="6" t="n">
        <f aca="false">IF(AND(I242="Yes",L242=""),Dashboard!$B$2-K242,"")</f>
        <v>519</v>
      </c>
    </row>
    <row r="243" customFormat="false" ht="15" hidden="false" customHeight="false" outlineLevel="0" collapsed="false">
      <c r="A243" s="6" t="s">
        <v>340</v>
      </c>
      <c r="B243" s="7" t="n">
        <v>46017</v>
      </c>
      <c r="C243" s="6" t="s">
        <v>64</v>
      </c>
      <c r="D243" s="6" t="s">
        <v>101</v>
      </c>
      <c r="E243" s="6" t="s">
        <v>124</v>
      </c>
      <c r="F243" s="6" t="s">
        <v>52</v>
      </c>
      <c r="G243" s="6" t="s">
        <v>41</v>
      </c>
      <c r="H243" s="6" t="s">
        <v>54</v>
      </c>
      <c r="I243" s="6" t="s">
        <v>43</v>
      </c>
      <c r="J243" s="6"/>
      <c r="K243" s="6"/>
      <c r="L243" s="6"/>
      <c r="M243" s="6" t="str">
        <f aca="false">IF(AND(K243&lt;&gt;"",L243&lt;&gt;""),L243-K243,"")</f>
        <v/>
      </c>
      <c r="N243" s="7" t="n">
        <v>46058</v>
      </c>
      <c r="O243" s="6" t="str">
        <f aca="false">IF(F243="Serious",15,"N/A")</f>
        <v>N/A</v>
      </c>
      <c r="P243" s="6" t="n">
        <f aca="false">N243-B243</f>
        <v>41</v>
      </c>
      <c r="Q243" s="6" t="str">
        <f aca="false">IF(F243="Serious",IF(P243&lt;=O243,"Yes","No"),"N/A")</f>
        <v>N/A</v>
      </c>
      <c r="R243" s="6" t="str">
        <f aca="false">IF(AND(I243="Yes",L243=""),Dashboard!$B$2-K243,"")</f>
        <v/>
      </c>
    </row>
    <row r="244" customFormat="false" ht="15" hidden="false" customHeight="false" outlineLevel="0" collapsed="false">
      <c r="A244" s="6" t="s">
        <v>341</v>
      </c>
      <c r="B244" s="7" t="n">
        <v>46017</v>
      </c>
      <c r="C244" s="6" t="s">
        <v>64</v>
      </c>
      <c r="D244" s="6" t="s">
        <v>38</v>
      </c>
      <c r="E244" s="6" t="s">
        <v>39</v>
      </c>
      <c r="F244" s="6" t="s">
        <v>52</v>
      </c>
      <c r="G244" s="6" t="s">
        <v>66</v>
      </c>
      <c r="H244" s="6" t="s">
        <v>60</v>
      </c>
      <c r="I244" s="6" t="s">
        <v>61</v>
      </c>
      <c r="J244" s="6" t="s">
        <v>76</v>
      </c>
      <c r="K244" s="7" t="n">
        <v>46019</v>
      </c>
      <c r="L244" s="7" t="n">
        <v>46043</v>
      </c>
      <c r="M244" s="6" t="n">
        <f aca="false">IF(AND(K244&lt;&gt;"",L244&lt;&gt;""),L244-K244,"")</f>
        <v>24</v>
      </c>
      <c r="N244" s="7" t="n">
        <v>46048</v>
      </c>
      <c r="O244" s="6" t="str">
        <f aca="false">IF(F244="Serious",15,"N/A")</f>
        <v>N/A</v>
      </c>
      <c r="P244" s="6" t="n">
        <f aca="false">N244-B244</f>
        <v>31</v>
      </c>
      <c r="Q244" s="6" t="str">
        <f aca="false">IF(F244="Serious",IF(P244&lt;=O244,"Yes","No"),"N/A")</f>
        <v>N/A</v>
      </c>
      <c r="R244" s="6" t="str">
        <f aca="false">IF(AND(I244="Yes",L244=""),Dashboard!$B$2-K244,"")</f>
        <v/>
      </c>
    </row>
    <row r="245" customFormat="false" ht="15" hidden="false" customHeight="false" outlineLevel="0" collapsed="false">
      <c r="A245" s="6" t="s">
        <v>342</v>
      </c>
      <c r="B245" s="7" t="n">
        <v>45718</v>
      </c>
      <c r="C245" s="6" t="s">
        <v>73</v>
      </c>
      <c r="D245" s="6" t="s">
        <v>82</v>
      </c>
      <c r="E245" s="6" t="s">
        <v>193</v>
      </c>
      <c r="F245" s="6" t="s">
        <v>52</v>
      </c>
      <c r="G245" s="6" t="s">
        <v>53</v>
      </c>
      <c r="H245" s="6" t="s">
        <v>42</v>
      </c>
      <c r="I245" s="6" t="s">
        <v>43</v>
      </c>
      <c r="J245" s="6"/>
      <c r="K245" s="6"/>
      <c r="L245" s="6"/>
      <c r="M245" s="6" t="str">
        <f aca="false">IF(AND(K245&lt;&gt;"",L245&lt;&gt;""),L245-K245,"")</f>
        <v/>
      </c>
      <c r="N245" s="7" t="n">
        <v>45771</v>
      </c>
      <c r="O245" s="6" t="str">
        <f aca="false">IF(F245="Serious",15,"N/A")</f>
        <v>N/A</v>
      </c>
      <c r="P245" s="6" t="n">
        <f aca="false">N245-B245</f>
        <v>53</v>
      </c>
      <c r="Q245" s="6" t="str">
        <f aca="false">IF(F245="Serious",IF(P245&lt;=O245,"Yes","No"),"N/A")</f>
        <v>N/A</v>
      </c>
      <c r="R245" s="6" t="str">
        <f aca="false">IF(AND(I245="Yes",L245=""),Dashboard!$B$2-K245,"")</f>
        <v/>
      </c>
    </row>
    <row r="246" customFormat="false" ht="15" hidden="false" customHeight="false" outlineLevel="0" collapsed="false">
      <c r="A246" s="6" t="s">
        <v>343</v>
      </c>
      <c r="B246" s="7" t="n">
        <v>46060</v>
      </c>
      <c r="C246" s="6" t="s">
        <v>49</v>
      </c>
      <c r="D246" s="6" t="s">
        <v>82</v>
      </c>
      <c r="E246" s="6" t="s">
        <v>193</v>
      </c>
      <c r="F246" s="6" t="s">
        <v>52</v>
      </c>
      <c r="G246" s="6" t="s">
        <v>66</v>
      </c>
      <c r="H246" s="6" t="s">
        <v>60</v>
      </c>
      <c r="I246" s="6" t="s">
        <v>61</v>
      </c>
      <c r="J246" s="6" t="s">
        <v>89</v>
      </c>
      <c r="K246" s="7" t="n">
        <v>46067</v>
      </c>
      <c r="L246" s="7" t="n">
        <v>46077</v>
      </c>
      <c r="M246" s="6" t="n">
        <f aca="false">IF(AND(K246&lt;&gt;"",L246&lt;&gt;""),L246-K246,"")</f>
        <v>10</v>
      </c>
      <c r="N246" s="7" t="n">
        <v>46088</v>
      </c>
      <c r="O246" s="6" t="str">
        <f aca="false">IF(F246="Serious",15,"N/A")</f>
        <v>N/A</v>
      </c>
      <c r="P246" s="6" t="n">
        <f aca="false">N246-B246</f>
        <v>28</v>
      </c>
      <c r="Q246" s="6" t="str">
        <f aca="false">IF(F246="Serious",IF(P246&lt;=O246,"Yes","No"),"N/A")</f>
        <v>N/A</v>
      </c>
      <c r="R246" s="6" t="str">
        <f aca="false">IF(AND(I246="Yes",L246=""),Dashboard!$B$2-K246,"")</f>
        <v/>
      </c>
    </row>
    <row r="247" customFormat="false" ht="15" hidden="false" customHeight="false" outlineLevel="0" collapsed="false">
      <c r="A247" s="6" t="s">
        <v>344</v>
      </c>
      <c r="B247" s="7" t="n">
        <v>46123</v>
      </c>
      <c r="C247" s="6" t="s">
        <v>49</v>
      </c>
      <c r="D247" s="6" t="s">
        <v>249</v>
      </c>
      <c r="E247" s="6" t="s">
        <v>295</v>
      </c>
      <c r="F247" s="6" t="s">
        <v>40</v>
      </c>
      <c r="G247" s="6" t="s">
        <v>41</v>
      </c>
      <c r="H247" s="6" t="s">
        <v>42</v>
      </c>
      <c r="I247" s="6" t="s">
        <v>43</v>
      </c>
      <c r="J247" s="6"/>
      <c r="K247" s="6"/>
      <c r="L247" s="6"/>
      <c r="M247" s="6" t="str">
        <f aca="false">IF(AND(K247&lt;&gt;"",L247&lt;&gt;""),L247-K247,"")</f>
        <v/>
      </c>
      <c r="N247" s="7" t="n">
        <v>46135</v>
      </c>
      <c r="O247" s="6" t="n">
        <f aca="false">IF(F247="Serious",15,"N/A")</f>
        <v>15</v>
      </c>
      <c r="P247" s="6" t="n">
        <f aca="false">N247-B247</f>
        <v>12</v>
      </c>
      <c r="Q247" s="6" t="str">
        <f aca="false">IF(F247="Serious",IF(P247&lt;=O247,"Yes","No"),"N/A")</f>
        <v>Yes</v>
      </c>
      <c r="R247" s="6" t="str">
        <f aca="false">IF(AND(I247="Yes",L247=""),Dashboard!$B$2-K247,"")</f>
        <v/>
      </c>
    </row>
    <row r="248" customFormat="false" ht="15" hidden="false" customHeight="false" outlineLevel="0" collapsed="false">
      <c r="A248" s="6" t="s">
        <v>345</v>
      </c>
      <c r="B248" s="7" t="n">
        <v>46024</v>
      </c>
      <c r="C248" s="6" t="s">
        <v>37</v>
      </c>
      <c r="D248" s="6" t="s">
        <v>85</v>
      </c>
      <c r="E248" s="6" t="s">
        <v>109</v>
      </c>
      <c r="F248" s="6" t="s">
        <v>40</v>
      </c>
      <c r="G248" s="6" t="s">
        <v>59</v>
      </c>
      <c r="H248" s="6" t="s">
        <v>60</v>
      </c>
      <c r="I248" s="6" t="s">
        <v>61</v>
      </c>
      <c r="J248" s="6" t="s">
        <v>62</v>
      </c>
      <c r="K248" s="7" t="n">
        <v>46030</v>
      </c>
      <c r="L248" s="7" t="n">
        <v>46037</v>
      </c>
      <c r="M248" s="6" t="n">
        <f aca="false">IF(AND(K248&lt;&gt;"",L248&lt;&gt;""),L248-K248,"")</f>
        <v>7</v>
      </c>
      <c r="N248" s="7" t="n">
        <v>46052</v>
      </c>
      <c r="O248" s="6" t="n">
        <f aca="false">IF(F248="Serious",15,"N/A")</f>
        <v>15</v>
      </c>
      <c r="P248" s="6" t="n">
        <f aca="false">N248-B248</f>
        <v>28</v>
      </c>
      <c r="Q248" s="6" t="str">
        <f aca="false">IF(F248="Serious",IF(P248&lt;=O248,"Yes","No"),"N/A")</f>
        <v>No</v>
      </c>
      <c r="R248" s="6" t="str">
        <f aca="false">IF(AND(I248="Yes",L248=""),Dashboard!$B$2-K248,"")</f>
        <v/>
      </c>
    </row>
    <row r="249" customFormat="false" ht="15" hidden="false" customHeight="false" outlineLevel="0" collapsed="false">
      <c r="A249" s="6" t="s">
        <v>346</v>
      </c>
      <c r="B249" s="7" t="n">
        <v>46009</v>
      </c>
      <c r="C249" s="6" t="s">
        <v>37</v>
      </c>
      <c r="D249" s="6" t="s">
        <v>79</v>
      </c>
      <c r="E249" s="6" t="s">
        <v>80</v>
      </c>
      <c r="F249" s="6" t="s">
        <v>52</v>
      </c>
      <c r="G249" s="6" t="s">
        <v>88</v>
      </c>
      <c r="H249" s="6" t="s">
        <v>60</v>
      </c>
      <c r="I249" s="6" t="s">
        <v>43</v>
      </c>
      <c r="J249" s="6"/>
      <c r="K249" s="6"/>
      <c r="L249" s="6"/>
      <c r="M249" s="6" t="str">
        <f aca="false">IF(AND(K249&lt;&gt;"",L249&lt;&gt;""),L249-K249,"")</f>
        <v/>
      </c>
      <c r="N249" s="7" t="n">
        <v>46024</v>
      </c>
      <c r="O249" s="6" t="str">
        <f aca="false">IF(F249="Serious",15,"N/A")</f>
        <v>N/A</v>
      </c>
      <c r="P249" s="6" t="n">
        <f aca="false">N249-B249</f>
        <v>15</v>
      </c>
      <c r="Q249" s="6" t="str">
        <f aca="false">IF(F249="Serious",IF(P249&lt;=O249,"Yes","No"),"N/A")</f>
        <v>N/A</v>
      </c>
      <c r="R249" s="6" t="str">
        <f aca="false">IF(AND(I249="Yes",L249=""),Dashboard!$B$2-K249,"")</f>
        <v/>
      </c>
    </row>
    <row r="250" customFormat="false" ht="15" hidden="false" customHeight="false" outlineLevel="0" collapsed="false">
      <c r="A250" s="6" t="s">
        <v>347</v>
      </c>
      <c r="B250" s="7" t="n">
        <v>46109</v>
      </c>
      <c r="C250" s="6" t="s">
        <v>49</v>
      </c>
      <c r="D250" s="6" t="s">
        <v>79</v>
      </c>
      <c r="E250" s="6" t="s">
        <v>223</v>
      </c>
      <c r="F250" s="6" t="s">
        <v>40</v>
      </c>
      <c r="G250" s="6" t="s">
        <v>66</v>
      </c>
      <c r="H250" s="6" t="s">
        <v>60</v>
      </c>
      <c r="I250" s="6" t="s">
        <v>43</v>
      </c>
      <c r="J250" s="6"/>
      <c r="K250" s="6"/>
      <c r="L250" s="6"/>
      <c r="M250" s="6" t="str">
        <f aca="false">IF(AND(K250&lt;&gt;"",L250&lt;&gt;""),L250-K250,"")</f>
        <v/>
      </c>
      <c r="N250" s="7" t="n">
        <v>46115</v>
      </c>
      <c r="O250" s="6" t="n">
        <f aca="false">IF(F250="Serious",15,"N/A")</f>
        <v>15</v>
      </c>
      <c r="P250" s="6" t="n">
        <f aca="false">N250-B250</f>
        <v>6</v>
      </c>
      <c r="Q250" s="6" t="str">
        <f aca="false">IF(F250="Serious",IF(P250&lt;=O250,"Yes","No"),"N/A")</f>
        <v>Yes</v>
      </c>
      <c r="R250" s="6" t="str">
        <f aca="false">IF(AND(I250="Yes",L250=""),Dashboard!$B$2-K250,"")</f>
        <v/>
      </c>
    </row>
    <row r="251" customFormat="false" ht="15" hidden="false" customHeight="false" outlineLevel="0" collapsed="false">
      <c r="A251" s="6" t="s">
        <v>348</v>
      </c>
      <c r="B251" s="7" t="n">
        <v>45753</v>
      </c>
      <c r="C251" s="6" t="s">
        <v>73</v>
      </c>
      <c r="D251" s="6" t="s">
        <v>38</v>
      </c>
      <c r="E251" s="6" t="s">
        <v>39</v>
      </c>
      <c r="F251" s="6" t="s">
        <v>52</v>
      </c>
      <c r="G251" s="6" t="s">
        <v>71</v>
      </c>
      <c r="H251" s="6" t="s">
        <v>60</v>
      </c>
      <c r="I251" s="6" t="s">
        <v>61</v>
      </c>
      <c r="J251" s="6" t="s">
        <v>62</v>
      </c>
      <c r="K251" s="7" t="n">
        <v>45757</v>
      </c>
      <c r="L251" s="7" t="n">
        <v>45763</v>
      </c>
      <c r="M251" s="6" t="n">
        <f aca="false">IF(AND(K251&lt;&gt;"",L251&lt;&gt;""),L251-K251,"")</f>
        <v>6</v>
      </c>
      <c r="N251" s="7" t="n">
        <v>45764</v>
      </c>
      <c r="O251" s="6" t="str">
        <f aca="false">IF(F251="Serious",15,"N/A")</f>
        <v>N/A</v>
      </c>
      <c r="P251" s="6" t="n">
        <f aca="false">N251-B251</f>
        <v>11</v>
      </c>
      <c r="Q251" s="6" t="str">
        <f aca="false">IF(F251="Serious",IF(P251&lt;=O251,"Yes","No"),"N/A")</f>
        <v>N/A</v>
      </c>
      <c r="R251" s="6" t="str">
        <f aca="false">IF(AND(I251="Yes",L251=""),Dashboard!$B$2-K251,"")</f>
        <v/>
      </c>
    </row>
    <row r="252" customFormat="false" ht="15" hidden="false" customHeight="false" outlineLevel="0" collapsed="false">
      <c r="A252" s="6" t="s">
        <v>349</v>
      </c>
      <c r="B252" s="7" t="n">
        <v>45659</v>
      </c>
      <c r="C252" s="6" t="s">
        <v>56</v>
      </c>
      <c r="D252" s="6" t="s">
        <v>69</v>
      </c>
      <c r="E252" s="6" t="s">
        <v>118</v>
      </c>
      <c r="F252" s="6" t="s">
        <v>40</v>
      </c>
      <c r="G252" s="6" t="s">
        <v>53</v>
      </c>
      <c r="H252" s="6" t="s">
        <v>42</v>
      </c>
      <c r="I252" s="6" t="s">
        <v>61</v>
      </c>
      <c r="J252" s="6" t="s">
        <v>126</v>
      </c>
      <c r="K252" s="7" t="n">
        <v>45665</v>
      </c>
      <c r="L252" s="6"/>
      <c r="M252" s="6" t="str">
        <f aca="false">IF(AND(K252&lt;&gt;"",L252&lt;&gt;""),L252-K252,"")</f>
        <v/>
      </c>
      <c r="N252" s="7" t="n">
        <v>45681</v>
      </c>
      <c r="O252" s="6" t="n">
        <f aca="false">IF(F252="Serious",15,"N/A")</f>
        <v>15</v>
      </c>
      <c r="P252" s="6" t="n">
        <f aca="false">N252-B252</f>
        <v>22</v>
      </c>
      <c r="Q252" s="6" t="str">
        <f aca="false">IF(F252="Serious",IF(P252&lt;=O252,"Yes","No"),"N/A")</f>
        <v>No</v>
      </c>
      <c r="R252" s="6" t="n">
        <f aca="false">IF(AND(I252="Yes",L252=""),Dashboard!$B$2-K252,"")</f>
        <v>549</v>
      </c>
    </row>
    <row r="253" customFormat="false" ht="15" hidden="false" customHeight="false" outlineLevel="0" collapsed="false">
      <c r="A253" s="6" t="s">
        <v>350</v>
      </c>
      <c r="B253" s="7" t="n">
        <v>45793</v>
      </c>
      <c r="C253" s="6" t="s">
        <v>49</v>
      </c>
      <c r="D253" s="6" t="s">
        <v>45</v>
      </c>
      <c r="E253" s="6" t="s">
        <v>46</v>
      </c>
      <c r="F253" s="6" t="s">
        <v>52</v>
      </c>
      <c r="G253" s="6" t="s">
        <v>41</v>
      </c>
      <c r="H253" s="6" t="s">
        <v>60</v>
      </c>
      <c r="I253" s="6" t="s">
        <v>61</v>
      </c>
      <c r="J253" s="6" t="s">
        <v>62</v>
      </c>
      <c r="K253" s="7" t="n">
        <v>45796</v>
      </c>
      <c r="L253" s="7" t="n">
        <v>45823</v>
      </c>
      <c r="M253" s="6" t="n">
        <f aca="false">IF(AND(K253&lt;&gt;"",L253&lt;&gt;""),L253-K253,"")</f>
        <v>27</v>
      </c>
      <c r="N253" s="7" t="n">
        <v>45853</v>
      </c>
      <c r="O253" s="6" t="str">
        <f aca="false">IF(F253="Serious",15,"N/A")</f>
        <v>N/A</v>
      </c>
      <c r="P253" s="6" t="n">
        <f aca="false">N253-B253</f>
        <v>60</v>
      </c>
      <c r="Q253" s="6" t="str">
        <f aca="false">IF(F253="Serious",IF(P253&lt;=O253,"Yes","No"),"N/A")</f>
        <v>N/A</v>
      </c>
      <c r="R253" s="6" t="str">
        <f aca="false">IF(AND(I253="Yes",L253=""),Dashboard!$B$2-K253,"")</f>
        <v/>
      </c>
    </row>
    <row r="254" customFormat="false" ht="15" hidden="false" customHeight="false" outlineLevel="0" collapsed="false">
      <c r="A254" s="6" t="s">
        <v>351</v>
      </c>
      <c r="B254" s="7" t="n">
        <v>45794</v>
      </c>
      <c r="C254" s="6" t="s">
        <v>56</v>
      </c>
      <c r="D254" s="6" t="s">
        <v>45</v>
      </c>
      <c r="E254" s="6" t="s">
        <v>91</v>
      </c>
      <c r="F254" s="6" t="s">
        <v>52</v>
      </c>
      <c r="G254" s="6" t="s">
        <v>47</v>
      </c>
      <c r="H254" s="6" t="s">
        <v>60</v>
      </c>
      <c r="I254" s="6" t="s">
        <v>61</v>
      </c>
      <c r="J254" s="6" t="s">
        <v>98</v>
      </c>
      <c r="K254" s="7" t="n">
        <v>45797</v>
      </c>
      <c r="L254" s="6"/>
      <c r="M254" s="6" t="str">
        <f aca="false">IF(AND(K254&lt;&gt;"",L254&lt;&gt;""),L254-K254,"")</f>
        <v/>
      </c>
      <c r="N254" s="7" t="n">
        <v>45838</v>
      </c>
      <c r="O254" s="6" t="str">
        <f aca="false">IF(F254="Serious",15,"N/A")</f>
        <v>N/A</v>
      </c>
      <c r="P254" s="6" t="n">
        <f aca="false">N254-B254</f>
        <v>44</v>
      </c>
      <c r="Q254" s="6" t="str">
        <f aca="false">IF(F254="Serious",IF(P254&lt;=O254,"Yes","No"),"N/A")</f>
        <v>N/A</v>
      </c>
      <c r="R254" s="6" t="n">
        <f aca="false">IF(AND(I254="Yes",L254=""),Dashboard!$B$2-K254,"")</f>
        <v>417</v>
      </c>
    </row>
    <row r="255" customFormat="false" ht="15" hidden="false" customHeight="false" outlineLevel="0" collapsed="false">
      <c r="A255" s="6" t="s">
        <v>352</v>
      </c>
      <c r="B255" s="7" t="n">
        <v>46111</v>
      </c>
      <c r="C255" s="6" t="s">
        <v>56</v>
      </c>
      <c r="D255" s="6" t="s">
        <v>45</v>
      </c>
      <c r="E255" s="6" t="s">
        <v>46</v>
      </c>
      <c r="F255" s="6" t="s">
        <v>40</v>
      </c>
      <c r="G255" s="6" t="s">
        <v>53</v>
      </c>
      <c r="H255" s="6" t="s">
        <v>42</v>
      </c>
      <c r="I255" s="6" t="s">
        <v>61</v>
      </c>
      <c r="J255" s="6" t="s">
        <v>74</v>
      </c>
      <c r="K255" s="7" t="n">
        <v>46117</v>
      </c>
      <c r="L255" s="6"/>
      <c r="M255" s="6" t="str">
        <f aca="false">IF(AND(K255&lt;&gt;"",L255&lt;&gt;""),L255-K255,"")</f>
        <v/>
      </c>
      <c r="N255" s="7" t="n">
        <v>46123</v>
      </c>
      <c r="O255" s="6" t="n">
        <f aca="false">IF(F255="Serious",15,"N/A")</f>
        <v>15</v>
      </c>
      <c r="P255" s="6" t="n">
        <f aca="false">N255-B255</f>
        <v>12</v>
      </c>
      <c r="Q255" s="6" t="str">
        <f aca="false">IF(F255="Serious",IF(P255&lt;=O255,"Yes","No"),"N/A")</f>
        <v>Yes</v>
      </c>
      <c r="R255" s="6" t="n">
        <f aca="false">IF(AND(I255="Yes",L255=""),Dashboard!$B$2-K255,"")</f>
        <v>97</v>
      </c>
    </row>
    <row r="256" customFormat="false" ht="15" hidden="false" customHeight="false" outlineLevel="0" collapsed="false">
      <c r="A256" s="6" t="s">
        <v>353</v>
      </c>
      <c r="B256" s="7" t="n">
        <v>45744</v>
      </c>
      <c r="C256" s="6" t="s">
        <v>56</v>
      </c>
      <c r="D256" s="6" t="s">
        <v>85</v>
      </c>
      <c r="E256" s="6" t="s">
        <v>109</v>
      </c>
      <c r="F256" s="6" t="s">
        <v>52</v>
      </c>
      <c r="G256" s="6" t="s">
        <v>66</v>
      </c>
      <c r="H256" s="6" t="s">
        <v>54</v>
      </c>
      <c r="I256" s="6" t="s">
        <v>43</v>
      </c>
      <c r="J256" s="6"/>
      <c r="K256" s="6"/>
      <c r="L256" s="6"/>
      <c r="M256" s="6" t="str">
        <f aca="false">IF(AND(K256&lt;&gt;"",L256&lt;&gt;""),L256-K256,"")</f>
        <v/>
      </c>
      <c r="N256" s="7" t="n">
        <v>45768</v>
      </c>
      <c r="O256" s="6" t="str">
        <f aca="false">IF(F256="Serious",15,"N/A")</f>
        <v>N/A</v>
      </c>
      <c r="P256" s="6" t="n">
        <f aca="false">N256-B256</f>
        <v>24</v>
      </c>
      <c r="Q256" s="6" t="str">
        <f aca="false">IF(F256="Serious",IF(P256&lt;=O256,"Yes","No"),"N/A")</f>
        <v>N/A</v>
      </c>
      <c r="R256" s="6" t="str">
        <f aca="false">IF(AND(I256="Yes",L256=""),Dashboard!$B$2-K256,"")</f>
        <v/>
      </c>
    </row>
    <row r="257" customFormat="false" ht="15" hidden="false" customHeight="false" outlineLevel="0" collapsed="false">
      <c r="A257" s="6" t="s">
        <v>354</v>
      </c>
      <c r="B257" s="7" t="n">
        <v>45868</v>
      </c>
      <c r="C257" s="6" t="s">
        <v>64</v>
      </c>
      <c r="D257" s="6" t="s">
        <v>50</v>
      </c>
      <c r="E257" s="6" t="s">
        <v>138</v>
      </c>
      <c r="F257" s="6" t="s">
        <v>52</v>
      </c>
      <c r="G257" s="6" t="s">
        <v>53</v>
      </c>
      <c r="H257" s="6" t="s">
        <v>60</v>
      </c>
      <c r="I257" s="6" t="s">
        <v>43</v>
      </c>
      <c r="J257" s="6"/>
      <c r="K257" s="6"/>
      <c r="L257" s="6"/>
      <c r="M257" s="6" t="str">
        <f aca="false">IF(AND(K257&lt;&gt;"",L257&lt;&gt;""),L257-K257,"")</f>
        <v/>
      </c>
      <c r="N257" s="7" t="n">
        <v>45888</v>
      </c>
      <c r="O257" s="6" t="str">
        <f aca="false">IF(F257="Serious",15,"N/A")</f>
        <v>N/A</v>
      </c>
      <c r="P257" s="6" t="n">
        <f aca="false">N257-B257</f>
        <v>20</v>
      </c>
      <c r="Q257" s="6" t="str">
        <f aca="false">IF(F257="Serious",IF(P257&lt;=O257,"Yes","No"),"N/A")</f>
        <v>N/A</v>
      </c>
      <c r="R257" s="6" t="str">
        <f aca="false">IF(AND(I257="Yes",L257=""),Dashboard!$B$2-K257,"")</f>
        <v/>
      </c>
    </row>
    <row r="258" customFormat="false" ht="15" hidden="false" customHeight="false" outlineLevel="0" collapsed="false">
      <c r="A258" s="6" t="s">
        <v>355</v>
      </c>
      <c r="B258" s="7" t="n">
        <v>46164</v>
      </c>
      <c r="C258" s="6" t="s">
        <v>49</v>
      </c>
      <c r="D258" s="6" t="s">
        <v>45</v>
      </c>
      <c r="E258" s="6" t="s">
        <v>46</v>
      </c>
      <c r="F258" s="6" t="s">
        <v>52</v>
      </c>
      <c r="G258" s="6" t="s">
        <v>47</v>
      </c>
      <c r="H258" s="6" t="s">
        <v>42</v>
      </c>
      <c r="I258" s="6" t="s">
        <v>43</v>
      </c>
      <c r="J258" s="6"/>
      <c r="K258" s="6"/>
      <c r="L258" s="6"/>
      <c r="M258" s="6" t="str">
        <f aca="false">IF(AND(K258&lt;&gt;"",L258&lt;&gt;""),L258-K258,"")</f>
        <v/>
      </c>
      <c r="N258" s="7" t="n">
        <v>46192</v>
      </c>
      <c r="O258" s="6" t="str">
        <f aca="false">IF(F258="Serious",15,"N/A")</f>
        <v>N/A</v>
      </c>
      <c r="P258" s="6" t="n">
        <f aca="false">N258-B258</f>
        <v>28</v>
      </c>
      <c r="Q258" s="6" t="str">
        <f aca="false">IF(F258="Serious",IF(P258&lt;=O258,"Yes","No"),"N/A")</f>
        <v>N/A</v>
      </c>
      <c r="R258" s="6" t="str">
        <f aca="false">IF(AND(I258="Yes",L258=""),Dashboard!$B$2-K258,"")</f>
        <v/>
      </c>
    </row>
    <row r="259" customFormat="false" ht="15" hidden="false" customHeight="false" outlineLevel="0" collapsed="false">
      <c r="A259" s="6" t="s">
        <v>356</v>
      </c>
      <c r="B259" s="7" t="n">
        <v>45982</v>
      </c>
      <c r="C259" s="6" t="s">
        <v>56</v>
      </c>
      <c r="D259" s="6" t="s">
        <v>101</v>
      </c>
      <c r="E259" s="6" t="s">
        <v>132</v>
      </c>
      <c r="F259" s="6" t="s">
        <v>52</v>
      </c>
      <c r="G259" s="6" t="s">
        <v>47</v>
      </c>
      <c r="H259" s="6" t="s">
        <v>60</v>
      </c>
      <c r="I259" s="6" t="s">
        <v>61</v>
      </c>
      <c r="J259" s="6" t="s">
        <v>89</v>
      </c>
      <c r="K259" s="7" t="n">
        <v>45983</v>
      </c>
      <c r="L259" s="7" t="n">
        <v>45986</v>
      </c>
      <c r="M259" s="6" t="n">
        <f aca="false">IF(AND(K259&lt;&gt;"",L259&lt;&gt;""),L259-K259,"")</f>
        <v>3</v>
      </c>
      <c r="N259" s="7" t="n">
        <v>46000</v>
      </c>
      <c r="O259" s="6" t="str">
        <f aca="false">IF(F259="Serious",15,"N/A")</f>
        <v>N/A</v>
      </c>
      <c r="P259" s="6" t="n">
        <f aca="false">N259-B259</f>
        <v>18</v>
      </c>
      <c r="Q259" s="6" t="str">
        <f aca="false">IF(F259="Serious",IF(P259&lt;=O259,"Yes","No"),"N/A")</f>
        <v>N/A</v>
      </c>
      <c r="R259" s="6" t="str">
        <f aca="false">IF(AND(I259="Yes",L259=""),Dashboard!$B$2-K259,"")</f>
        <v/>
      </c>
    </row>
    <row r="260" customFormat="false" ht="15" hidden="false" customHeight="false" outlineLevel="0" collapsed="false">
      <c r="A260" s="6" t="s">
        <v>357</v>
      </c>
      <c r="B260" s="7" t="n">
        <v>45698</v>
      </c>
      <c r="C260" s="6" t="s">
        <v>37</v>
      </c>
      <c r="D260" s="6" t="s">
        <v>101</v>
      </c>
      <c r="E260" s="6" t="s">
        <v>132</v>
      </c>
      <c r="F260" s="6" t="s">
        <v>52</v>
      </c>
      <c r="G260" s="6" t="s">
        <v>66</v>
      </c>
      <c r="H260" s="6" t="s">
        <v>42</v>
      </c>
      <c r="I260" s="6" t="s">
        <v>61</v>
      </c>
      <c r="J260" s="6" t="s">
        <v>74</v>
      </c>
      <c r="K260" s="7" t="n">
        <v>45700</v>
      </c>
      <c r="L260" s="7" t="n">
        <v>45717</v>
      </c>
      <c r="M260" s="6" t="n">
        <f aca="false">IF(AND(K260&lt;&gt;"",L260&lt;&gt;""),L260-K260,"")</f>
        <v>17</v>
      </c>
      <c r="N260" s="7" t="n">
        <v>45712</v>
      </c>
      <c r="O260" s="6" t="str">
        <f aca="false">IF(F260="Serious",15,"N/A")</f>
        <v>N/A</v>
      </c>
      <c r="P260" s="6" t="n">
        <f aca="false">N260-B260</f>
        <v>14</v>
      </c>
      <c r="Q260" s="6" t="str">
        <f aca="false">IF(F260="Serious",IF(P260&lt;=O260,"Yes","No"),"N/A")</f>
        <v>N/A</v>
      </c>
      <c r="R260" s="6" t="str">
        <f aca="false">IF(AND(I260="Yes",L260=""),Dashboard!$B$2-K260,"")</f>
        <v/>
      </c>
    </row>
    <row r="261" customFormat="false" ht="15" hidden="false" customHeight="false" outlineLevel="0" collapsed="false">
      <c r="A261" s="6" t="s">
        <v>358</v>
      </c>
      <c r="B261" s="7" t="n">
        <v>45942</v>
      </c>
      <c r="C261" s="6" t="s">
        <v>37</v>
      </c>
      <c r="D261" s="6" t="s">
        <v>38</v>
      </c>
      <c r="E261" s="6" t="s">
        <v>39</v>
      </c>
      <c r="F261" s="6" t="s">
        <v>52</v>
      </c>
      <c r="G261" s="6" t="s">
        <v>53</v>
      </c>
      <c r="H261" s="6" t="s">
        <v>54</v>
      </c>
      <c r="I261" s="6" t="s">
        <v>61</v>
      </c>
      <c r="J261" s="6" t="s">
        <v>74</v>
      </c>
      <c r="K261" s="7" t="n">
        <v>45952</v>
      </c>
      <c r="L261" s="7" t="n">
        <v>45980</v>
      </c>
      <c r="M261" s="6" t="n">
        <f aca="false">IF(AND(K261&lt;&gt;"",L261&lt;&gt;""),L261-K261,"")</f>
        <v>28</v>
      </c>
      <c r="N261" s="7" t="n">
        <v>45990</v>
      </c>
      <c r="O261" s="6" t="str">
        <f aca="false">IF(F261="Serious",15,"N/A")</f>
        <v>N/A</v>
      </c>
      <c r="P261" s="6" t="n">
        <f aca="false">N261-B261</f>
        <v>48</v>
      </c>
      <c r="Q261" s="6" t="str">
        <f aca="false">IF(F261="Serious",IF(P261&lt;=O261,"Yes","No"),"N/A")</f>
        <v>N/A</v>
      </c>
      <c r="R261" s="6" t="str">
        <f aca="false">IF(AND(I261="Yes",L261=""),Dashboard!$B$2-K261,"")</f>
        <v/>
      </c>
    </row>
    <row r="262" customFormat="false" ht="15" hidden="false" customHeight="false" outlineLevel="0" collapsed="false">
      <c r="A262" s="6" t="s">
        <v>359</v>
      </c>
      <c r="B262" s="7" t="n">
        <v>45725</v>
      </c>
      <c r="C262" s="6" t="s">
        <v>73</v>
      </c>
      <c r="D262" s="6" t="s">
        <v>101</v>
      </c>
      <c r="E262" s="6" t="s">
        <v>132</v>
      </c>
      <c r="F262" s="6" t="s">
        <v>52</v>
      </c>
      <c r="G262" s="6" t="s">
        <v>53</v>
      </c>
      <c r="H262" s="6" t="s">
        <v>60</v>
      </c>
      <c r="I262" s="6" t="s">
        <v>43</v>
      </c>
      <c r="J262" s="6"/>
      <c r="K262" s="6"/>
      <c r="L262" s="6"/>
      <c r="M262" s="6" t="str">
        <f aca="false">IF(AND(K262&lt;&gt;"",L262&lt;&gt;""),L262-K262,"")</f>
        <v/>
      </c>
      <c r="N262" s="7" t="n">
        <v>45737</v>
      </c>
      <c r="O262" s="6" t="str">
        <f aca="false">IF(F262="Serious",15,"N/A")</f>
        <v>N/A</v>
      </c>
      <c r="P262" s="6" t="n">
        <f aca="false">N262-B262</f>
        <v>12</v>
      </c>
      <c r="Q262" s="6" t="str">
        <f aca="false">IF(F262="Serious",IF(P262&lt;=O262,"Yes","No"),"N/A")</f>
        <v>N/A</v>
      </c>
      <c r="R262" s="6" t="str">
        <f aca="false">IF(AND(I262="Yes",L262=""),Dashboard!$B$2-K262,"")</f>
        <v/>
      </c>
    </row>
    <row r="263" customFormat="false" ht="15" hidden="false" customHeight="false" outlineLevel="0" collapsed="false">
      <c r="A263" s="6" t="s">
        <v>360</v>
      </c>
      <c r="B263" s="7" t="n">
        <v>46122</v>
      </c>
      <c r="C263" s="6" t="s">
        <v>64</v>
      </c>
      <c r="D263" s="6" t="s">
        <v>50</v>
      </c>
      <c r="E263" s="6" t="s">
        <v>138</v>
      </c>
      <c r="F263" s="6" t="s">
        <v>52</v>
      </c>
      <c r="G263" s="6" t="s">
        <v>41</v>
      </c>
      <c r="H263" s="6" t="s">
        <v>42</v>
      </c>
      <c r="I263" s="6" t="s">
        <v>61</v>
      </c>
      <c r="J263" s="6" t="s">
        <v>126</v>
      </c>
      <c r="K263" s="7" t="n">
        <v>46125</v>
      </c>
      <c r="L263" s="7" t="n">
        <v>46133</v>
      </c>
      <c r="M263" s="6" t="n">
        <f aca="false">IF(AND(K263&lt;&gt;"",L263&lt;&gt;""),L263-K263,"")</f>
        <v>8</v>
      </c>
      <c r="N263" s="7" t="n">
        <v>46149</v>
      </c>
      <c r="O263" s="6" t="str">
        <f aca="false">IF(F263="Serious",15,"N/A")</f>
        <v>N/A</v>
      </c>
      <c r="P263" s="6" t="n">
        <f aca="false">N263-B263</f>
        <v>27</v>
      </c>
      <c r="Q263" s="6" t="str">
        <f aca="false">IF(F263="Serious",IF(P263&lt;=O263,"Yes","No"),"N/A")</f>
        <v>N/A</v>
      </c>
      <c r="R263" s="6" t="str">
        <f aca="false">IF(AND(I263="Yes",L263=""),Dashboard!$B$2-K263,"")</f>
        <v/>
      </c>
    </row>
    <row r="264" customFormat="false" ht="15" hidden="false" customHeight="false" outlineLevel="0" collapsed="false">
      <c r="A264" s="6" t="s">
        <v>361</v>
      </c>
      <c r="B264" s="7" t="n">
        <v>46193</v>
      </c>
      <c r="C264" s="6" t="s">
        <v>64</v>
      </c>
      <c r="D264" s="6" t="s">
        <v>38</v>
      </c>
      <c r="E264" s="6" t="s">
        <v>39</v>
      </c>
      <c r="F264" s="6" t="s">
        <v>52</v>
      </c>
      <c r="G264" s="6" t="s">
        <v>41</v>
      </c>
      <c r="H264" s="6" t="s">
        <v>54</v>
      </c>
      <c r="I264" s="6" t="s">
        <v>43</v>
      </c>
      <c r="J264" s="6"/>
      <c r="K264" s="6"/>
      <c r="L264" s="6"/>
      <c r="M264" s="6" t="str">
        <f aca="false">IF(AND(K264&lt;&gt;"",L264&lt;&gt;""),L264-K264,"")</f>
        <v/>
      </c>
      <c r="N264" s="7" t="n">
        <v>46205</v>
      </c>
      <c r="O264" s="6" t="str">
        <f aca="false">IF(F264="Serious",15,"N/A")</f>
        <v>N/A</v>
      </c>
      <c r="P264" s="6" t="n">
        <f aca="false">N264-B264</f>
        <v>12</v>
      </c>
      <c r="Q264" s="6" t="str">
        <f aca="false">IF(F264="Serious",IF(P264&lt;=O264,"Yes","No"),"N/A")</f>
        <v>N/A</v>
      </c>
      <c r="R264" s="6" t="str">
        <f aca="false">IF(AND(I264="Yes",L264=""),Dashboard!$B$2-K264,"")</f>
        <v/>
      </c>
    </row>
    <row r="265" customFormat="false" ht="15" hidden="false" customHeight="false" outlineLevel="0" collapsed="false">
      <c r="A265" s="6" t="s">
        <v>362</v>
      </c>
      <c r="B265" s="7" t="n">
        <v>45688</v>
      </c>
      <c r="C265" s="6" t="s">
        <v>73</v>
      </c>
      <c r="D265" s="6" t="s">
        <v>101</v>
      </c>
      <c r="E265" s="6" t="s">
        <v>102</v>
      </c>
      <c r="F265" s="6" t="s">
        <v>52</v>
      </c>
      <c r="G265" s="6" t="s">
        <v>53</v>
      </c>
      <c r="H265" s="6" t="s">
        <v>129</v>
      </c>
      <c r="I265" s="6" t="s">
        <v>43</v>
      </c>
      <c r="J265" s="6"/>
      <c r="K265" s="6"/>
      <c r="L265" s="6"/>
      <c r="M265" s="6" t="str">
        <f aca="false">IF(AND(K265&lt;&gt;"",L265&lt;&gt;""),L265-K265,"")</f>
        <v/>
      </c>
      <c r="N265" s="7" t="n">
        <v>45724</v>
      </c>
      <c r="O265" s="6" t="str">
        <f aca="false">IF(F265="Serious",15,"N/A")</f>
        <v>N/A</v>
      </c>
      <c r="P265" s="6" t="n">
        <f aca="false">N265-B265</f>
        <v>36</v>
      </c>
      <c r="Q265" s="6" t="str">
        <f aca="false">IF(F265="Serious",IF(P265&lt;=O265,"Yes","No"),"N/A")</f>
        <v>N/A</v>
      </c>
      <c r="R265" s="6" t="str">
        <f aca="false">IF(AND(I265="Yes",L265=""),Dashboard!$B$2-K265,"")</f>
        <v/>
      </c>
    </row>
    <row r="266" customFormat="false" ht="15" hidden="false" customHeight="false" outlineLevel="0" collapsed="false">
      <c r="A266" s="6" t="s">
        <v>363</v>
      </c>
      <c r="B266" s="7" t="n">
        <v>46124</v>
      </c>
      <c r="C266" s="6" t="s">
        <v>64</v>
      </c>
      <c r="D266" s="6" t="s">
        <v>249</v>
      </c>
      <c r="E266" s="6" t="s">
        <v>250</v>
      </c>
      <c r="F266" s="6" t="s">
        <v>52</v>
      </c>
      <c r="G266" s="6" t="s">
        <v>47</v>
      </c>
      <c r="H266" s="6" t="s">
        <v>60</v>
      </c>
      <c r="I266" s="6" t="s">
        <v>61</v>
      </c>
      <c r="J266" s="6" t="s">
        <v>89</v>
      </c>
      <c r="K266" s="7" t="n">
        <v>46134</v>
      </c>
      <c r="L266" s="7" t="n">
        <v>46140</v>
      </c>
      <c r="M266" s="6" t="n">
        <f aca="false">IF(AND(K266&lt;&gt;"",L266&lt;&gt;""),L266-K266,"")</f>
        <v>6</v>
      </c>
      <c r="N266" s="7" t="n">
        <v>46176</v>
      </c>
      <c r="O266" s="6" t="str">
        <f aca="false">IF(F266="Serious",15,"N/A")</f>
        <v>N/A</v>
      </c>
      <c r="P266" s="6" t="n">
        <f aca="false">N266-B266</f>
        <v>52</v>
      </c>
      <c r="Q266" s="6" t="str">
        <f aca="false">IF(F266="Serious",IF(P266&lt;=O266,"Yes","No"),"N/A")</f>
        <v>N/A</v>
      </c>
      <c r="R266" s="6" t="str">
        <f aca="false">IF(AND(I266="Yes",L266=""),Dashboard!$B$2-K266,"")</f>
        <v/>
      </c>
    </row>
    <row r="267" customFormat="false" ht="15" hidden="false" customHeight="false" outlineLevel="0" collapsed="false">
      <c r="A267" s="6" t="s">
        <v>364</v>
      </c>
      <c r="B267" s="7" t="n">
        <v>46179</v>
      </c>
      <c r="C267" s="6" t="s">
        <v>37</v>
      </c>
      <c r="D267" s="6" t="s">
        <v>79</v>
      </c>
      <c r="E267" s="6" t="s">
        <v>80</v>
      </c>
      <c r="F267" s="6" t="s">
        <v>40</v>
      </c>
      <c r="G267" s="6" t="s">
        <v>59</v>
      </c>
      <c r="H267" s="6" t="s">
        <v>60</v>
      </c>
      <c r="I267" s="6" t="s">
        <v>61</v>
      </c>
      <c r="J267" s="6" t="s">
        <v>89</v>
      </c>
      <c r="K267" s="7" t="n">
        <v>46188</v>
      </c>
      <c r="L267" s="6"/>
      <c r="M267" s="6" t="str">
        <f aca="false">IF(AND(K267&lt;&gt;"",L267&lt;&gt;""),L267-K267,"")</f>
        <v/>
      </c>
      <c r="N267" s="7" t="n">
        <v>46191</v>
      </c>
      <c r="O267" s="6" t="n">
        <f aca="false">IF(F267="Serious",15,"N/A")</f>
        <v>15</v>
      </c>
      <c r="P267" s="6" t="n">
        <f aca="false">N267-B267</f>
        <v>12</v>
      </c>
      <c r="Q267" s="6" t="str">
        <f aca="false">IF(F267="Serious",IF(P267&lt;=O267,"Yes","No"),"N/A")</f>
        <v>Yes</v>
      </c>
      <c r="R267" s="6" t="n">
        <f aca="false">IF(AND(I267="Yes",L267=""),Dashboard!$B$2-K267,"")</f>
        <v>26</v>
      </c>
    </row>
    <row r="268" customFormat="false" ht="15" hidden="false" customHeight="false" outlineLevel="0" collapsed="false">
      <c r="A268" s="6" t="s">
        <v>365</v>
      </c>
      <c r="B268" s="7" t="n">
        <v>46087</v>
      </c>
      <c r="C268" s="6" t="s">
        <v>56</v>
      </c>
      <c r="D268" s="6" t="s">
        <v>249</v>
      </c>
      <c r="E268" s="6" t="s">
        <v>250</v>
      </c>
      <c r="F268" s="6" t="s">
        <v>52</v>
      </c>
      <c r="G268" s="6" t="s">
        <v>41</v>
      </c>
      <c r="H268" s="6" t="s">
        <v>60</v>
      </c>
      <c r="I268" s="6" t="s">
        <v>61</v>
      </c>
      <c r="J268" s="6" t="s">
        <v>62</v>
      </c>
      <c r="K268" s="7" t="n">
        <v>46089</v>
      </c>
      <c r="L268" s="7" t="n">
        <v>46121</v>
      </c>
      <c r="M268" s="6" t="n">
        <f aca="false">IF(AND(K268&lt;&gt;"",L268&lt;&gt;""),L268-K268,"")</f>
        <v>32</v>
      </c>
      <c r="N268" s="7" t="n">
        <v>46103</v>
      </c>
      <c r="O268" s="6" t="str">
        <f aca="false">IF(F268="Serious",15,"N/A")</f>
        <v>N/A</v>
      </c>
      <c r="P268" s="6" t="n">
        <f aca="false">N268-B268</f>
        <v>16</v>
      </c>
      <c r="Q268" s="6" t="str">
        <f aca="false">IF(F268="Serious",IF(P268&lt;=O268,"Yes","No"),"N/A")</f>
        <v>N/A</v>
      </c>
      <c r="R268" s="6" t="str">
        <f aca="false">IF(AND(I268="Yes",L268=""),Dashboard!$B$2-K268,"")</f>
        <v/>
      </c>
    </row>
    <row r="269" customFormat="false" ht="15" hidden="false" customHeight="false" outlineLevel="0" collapsed="false">
      <c r="A269" s="6" t="s">
        <v>366</v>
      </c>
      <c r="B269" s="7" t="n">
        <v>45886</v>
      </c>
      <c r="C269" s="6" t="s">
        <v>64</v>
      </c>
      <c r="D269" s="6" t="s">
        <v>79</v>
      </c>
      <c r="E269" s="6" t="s">
        <v>223</v>
      </c>
      <c r="F269" s="6" t="s">
        <v>40</v>
      </c>
      <c r="G269" s="6" t="s">
        <v>59</v>
      </c>
      <c r="H269" s="6" t="s">
        <v>60</v>
      </c>
      <c r="I269" s="6" t="s">
        <v>43</v>
      </c>
      <c r="J269" s="6"/>
      <c r="K269" s="6"/>
      <c r="L269" s="6"/>
      <c r="M269" s="6" t="str">
        <f aca="false">IF(AND(K269&lt;&gt;"",L269&lt;&gt;""),L269-K269,"")</f>
        <v/>
      </c>
      <c r="N269" s="7" t="n">
        <v>45896</v>
      </c>
      <c r="O269" s="6" t="n">
        <f aca="false">IF(F269="Serious",15,"N/A")</f>
        <v>15</v>
      </c>
      <c r="P269" s="6" t="n">
        <f aca="false">N269-B269</f>
        <v>10</v>
      </c>
      <c r="Q269" s="6" t="str">
        <f aca="false">IF(F269="Serious",IF(P269&lt;=O269,"Yes","No"),"N/A")</f>
        <v>Yes</v>
      </c>
      <c r="R269" s="6" t="str">
        <f aca="false">IF(AND(I269="Yes",L269=""),Dashboard!$B$2-K269,"")</f>
        <v/>
      </c>
    </row>
    <row r="270" customFormat="false" ht="15" hidden="false" customHeight="false" outlineLevel="0" collapsed="false">
      <c r="A270" s="6" t="s">
        <v>367</v>
      </c>
      <c r="B270" s="7" t="n">
        <v>46125</v>
      </c>
      <c r="C270" s="6" t="s">
        <v>37</v>
      </c>
      <c r="D270" s="6" t="s">
        <v>249</v>
      </c>
      <c r="E270" s="6" t="s">
        <v>250</v>
      </c>
      <c r="F270" s="6" t="s">
        <v>52</v>
      </c>
      <c r="G270" s="6" t="s">
        <v>41</v>
      </c>
      <c r="H270" s="6" t="s">
        <v>42</v>
      </c>
      <c r="I270" s="6" t="s">
        <v>61</v>
      </c>
      <c r="J270" s="6" t="s">
        <v>62</v>
      </c>
      <c r="K270" s="7" t="n">
        <v>46135</v>
      </c>
      <c r="L270" s="6"/>
      <c r="M270" s="6" t="str">
        <f aca="false">IF(AND(K270&lt;&gt;"",L270&lt;&gt;""),L270-K270,"")</f>
        <v/>
      </c>
      <c r="N270" s="7" t="n">
        <v>46179</v>
      </c>
      <c r="O270" s="6" t="str">
        <f aca="false">IF(F270="Serious",15,"N/A")</f>
        <v>N/A</v>
      </c>
      <c r="P270" s="6" t="n">
        <f aca="false">N270-B270</f>
        <v>54</v>
      </c>
      <c r="Q270" s="6" t="str">
        <f aca="false">IF(F270="Serious",IF(P270&lt;=O270,"Yes","No"),"N/A")</f>
        <v>N/A</v>
      </c>
      <c r="R270" s="6" t="n">
        <f aca="false">IF(AND(I270="Yes",L270=""),Dashboard!$B$2-K270,"")</f>
        <v>79</v>
      </c>
    </row>
    <row r="271" customFormat="false" ht="15" hidden="false" customHeight="false" outlineLevel="0" collapsed="false">
      <c r="A271" s="6" t="s">
        <v>368</v>
      </c>
      <c r="B271" s="7" t="n">
        <v>45858</v>
      </c>
      <c r="C271" s="6" t="s">
        <v>64</v>
      </c>
      <c r="D271" s="6" t="s">
        <v>57</v>
      </c>
      <c r="E271" s="6" t="s">
        <v>94</v>
      </c>
      <c r="F271" s="6" t="s">
        <v>40</v>
      </c>
      <c r="G271" s="6" t="s">
        <v>59</v>
      </c>
      <c r="H271" s="6" t="s">
        <v>60</v>
      </c>
      <c r="I271" s="6" t="s">
        <v>61</v>
      </c>
      <c r="J271" s="6" t="s">
        <v>126</v>
      </c>
      <c r="K271" s="7" t="n">
        <v>45859</v>
      </c>
      <c r="L271" s="6"/>
      <c r="M271" s="6" t="str">
        <f aca="false">IF(AND(K271&lt;&gt;"",L271&lt;&gt;""),L271-K271,"")</f>
        <v/>
      </c>
      <c r="N271" s="7" t="n">
        <v>45870</v>
      </c>
      <c r="O271" s="6" t="n">
        <f aca="false">IF(F271="Serious",15,"N/A")</f>
        <v>15</v>
      </c>
      <c r="P271" s="6" t="n">
        <f aca="false">N271-B271</f>
        <v>12</v>
      </c>
      <c r="Q271" s="6" t="str">
        <f aca="false">IF(F271="Serious",IF(P271&lt;=O271,"Yes","No"),"N/A")</f>
        <v>Yes</v>
      </c>
      <c r="R271" s="6" t="n">
        <f aca="false">IF(AND(I271="Yes",L271=""),Dashboard!$B$2-K271,"")</f>
        <v>355</v>
      </c>
    </row>
    <row r="272" customFormat="false" ht="15" hidden="false" customHeight="false" outlineLevel="0" collapsed="false">
      <c r="A272" s="6" t="s">
        <v>369</v>
      </c>
      <c r="B272" s="7" t="n">
        <v>46043</v>
      </c>
      <c r="C272" s="6" t="s">
        <v>73</v>
      </c>
      <c r="D272" s="6" t="s">
        <v>45</v>
      </c>
      <c r="E272" s="6" t="s">
        <v>46</v>
      </c>
      <c r="F272" s="6" t="s">
        <v>52</v>
      </c>
      <c r="G272" s="6" t="s">
        <v>53</v>
      </c>
      <c r="H272" s="6" t="s">
        <v>42</v>
      </c>
      <c r="I272" s="6" t="s">
        <v>61</v>
      </c>
      <c r="J272" s="6" t="s">
        <v>98</v>
      </c>
      <c r="K272" s="7" t="n">
        <v>46048</v>
      </c>
      <c r="L272" s="7" t="n">
        <v>46081</v>
      </c>
      <c r="M272" s="6" t="n">
        <f aca="false">IF(AND(K272&lt;&gt;"",L272&lt;&gt;""),L272-K272,"")</f>
        <v>33</v>
      </c>
      <c r="N272" s="7" t="n">
        <v>46102</v>
      </c>
      <c r="O272" s="6" t="str">
        <f aca="false">IF(F272="Serious",15,"N/A")</f>
        <v>N/A</v>
      </c>
      <c r="P272" s="6" t="n">
        <f aca="false">N272-B272</f>
        <v>59</v>
      </c>
      <c r="Q272" s="6" t="str">
        <f aca="false">IF(F272="Serious",IF(P272&lt;=O272,"Yes","No"),"N/A")</f>
        <v>N/A</v>
      </c>
      <c r="R272" s="6" t="str">
        <f aca="false">IF(AND(I272="Yes",L272=""),Dashboard!$B$2-K272,"")</f>
        <v/>
      </c>
    </row>
    <row r="273" customFormat="false" ht="15" hidden="false" customHeight="false" outlineLevel="0" collapsed="false">
      <c r="A273" s="6" t="s">
        <v>370</v>
      </c>
      <c r="B273" s="7" t="n">
        <v>46190</v>
      </c>
      <c r="C273" s="6" t="s">
        <v>49</v>
      </c>
      <c r="D273" s="6" t="s">
        <v>249</v>
      </c>
      <c r="E273" s="6" t="s">
        <v>278</v>
      </c>
      <c r="F273" s="6" t="s">
        <v>52</v>
      </c>
      <c r="G273" s="6" t="s">
        <v>53</v>
      </c>
      <c r="H273" s="6" t="s">
        <v>60</v>
      </c>
      <c r="I273" s="6" t="s">
        <v>61</v>
      </c>
      <c r="J273" s="6" t="s">
        <v>74</v>
      </c>
      <c r="K273" s="7" t="n">
        <v>46192</v>
      </c>
      <c r="L273" s="7" t="n">
        <v>46197</v>
      </c>
      <c r="M273" s="6" t="n">
        <f aca="false">IF(AND(K273&lt;&gt;"",L273&lt;&gt;""),L273-K273,"")</f>
        <v>5</v>
      </c>
      <c r="N273" s="7" t="n">
        <v>46237</v>
      </c>
      <c r="O273" s="6" t="str">
        <f aca="false">IF(F273="Serious",15,"N/A")</f>
        <v>N/A</v>
      </c>
      <c r="P273" s="6" t="n">
        <f aca="false">N273-B273</f>
        <v>47</v>
      </c>
      <c r="Q273" s="6" t="str">
        <f aca="false">IF(F273="Serious",IF(P273&lt;=O273,"Yes","No"),"N/A")</f>
        <v>N/A</v>
      </c>
      <c r="R273" s="6" t="str">
        <f aca="false">IF(AND(I273="Yes",L273=""),Dashboard!$B$2-K273,"")</f>
        <v/>
      </c>
    </row>
    <row r="274" customFormat="false" ht="15" hidden="false" customHeight="false" outlineLevel="0" collapsed="false">
      <c r="A274" s="6" t="s">
        <v>371</v>
      </c>
      <c r="B274" s="7" t="n">
        <v>45791</v>
      </c>
      <c r="C274" s="6" t="s">
        <v>56</v>
      </c>
      <c r="D274" s="6" t="s">
        <v>38</v>
      </c>
      <c r="E274" s="6" t="s">
        <v>65</v>
      </c>
      <c r="F274" s="6" t="s">
        <v>52</v>
      </c>
      <c r="G274" s="6" t="s">
        <v>71</v>
      </c>
      <c r="H274" s="6" t="s">
        <v>60</v>
      </c>
      <c r="I274" s="6" t="s">
        <v>43</v>
      </c>
      <c r="J274" s="6"/>
      <c r="K274" s="6"/>
      <c r="L274" s="6"/>
      <c r="M274" s="6" t="str">
        <f aca="false">IF(AND(K274&lt;&gt;"",L274&lt;&gt;""),L274-K274,"")</f>
        <v/>
      </c>
      <c r="N274" s="7" t="n">
        <v>45816</v>
      </c>
      <c r="O274" s="6" t="str">
        <f aca="false">IF(F274="Serious",15,"N/A")</f>
        <v>N/A</v>
      </c>
      <c r="P274" s="6" t="n">
        <f aca="false">N274-B274</f>
        <v>25</v>
      </c>
      <c r="Q274" s="6" t="str">
        <f aca="false">IF(F274="Serious",IF(P274&lt;=O274,"Yes","No"),"N/A")</f>
        <v>N/A</v>
      </c>
      <c r="R274" s="6" t="str">
        <f aca="false">IF(AND(I274="Yes",L274=""),Dashboard!$B$2-K274,"")</f>
        <v/>
      </c>
    </row>
    <row r="275" customFormat="false" ht="15" hidden="false" customHeight="false" outlineLevel="0" collapsed="false">
      <c r="A275" s="6" t="s">
        <v>372</v>
      </c>
      <c r="B275" s="7" t="n">
        <v>45983</v>
      </c>
      <c r="C275" s="6" t="s">
        <v>49</v>
      </c>
      <c r="D275" s="6" t="s">
        <v>38</v>
      </c>
      <c r="E275" s="6" t="s">
        <v>39</v>
      </c>
      <c r="F275" s="6" t="s">
        <v>40</v>
      </c>
      <c r="G275" s="6" t="s">
        <v>53</v>
      </c>
      <c r="H275" s="6" t="s">
        <v>42</v>
      </c>
      <c r="I275" s="6" t="s">
        <v>61</v>
      </c>
      <c r="J275" s="6" t="s">
        <v>98</v>
      </c>
      <c r="K275" s="7" t="n">
        <v>45985</v>
      </c>
      <c r="L275" s="7" t="n">
        <v>46000</v>
      </c>
      <c r="M275" s="6" t="n">
        <f aca="false">IF(AND(K275&lt;&gt;"",L275&lt;&gt;""),L275-K275,"")</f>
        <v>15</v>
      </c>
      <c r="N275" s="7" t="n">
        <v>45993</v>
      </c>
      <c r="O275" s="6" t="n">
        <f aca="false">IF(F275="Serious",15,"N/A")</f>
        <v>15</v>
      </c>
      <c r="P275" s="6" t="n">
        <f aca="false">N275-B275</f>
        <v>10</v>
      </c>
      <c r="Q275" s="6" t="str">
        <f aca="false">IF(F275="Serious",IF(P275&lt;=O275,"Yes","No"),"N/A")</f>
        <v>Yes</v>
      </c>
      <c r="R275" s="6" t="str">
        <f aca="false">IF(AND(I275="Yes",L275=""),Dashboard!$B$2-K275,"")</f>
        <v/>
      </c>
    </row>
    <row r="276" customFormat="false" ht="15" hidden="false" customHeight="false" outlineLevel="0" collapsed="false">
      <c r="A276" s="6" t="s">
        <v>373</v>
      </c>
      <c r="B276" s="7" t="n">
        <v>46024</v>
      </c>
      <c r="C276" s="6" t="s">
        <v>56</v>
      </c>
      <c r="D276" s="6" t="s">
        <v>69</v>
      </c>
      <c r="E276" s="6" t="s">
        <v>70</v>
      </c>
      <c r="F276" s="6" t="s">
        <v>52</v>
      </c>
      <c r="G276" s="6" t="s">
        <v>88</v>
      </c>
      <c r="H276" s="6" t="s">
        <v>60</v>
      </c>
      <c r="I276" s="6" t="s">
        <v>43</v>
      </c>
      <c r="J276" s="6"/>
      <c r="K276" s="6"/>
      <c r="L276" s="6"/>
      <c r="M276" s="6" t="str">
        <f aca="false">IF(AND(K276&lt;&gt;"",L276&lt;&gt;""),L276-K276,"")</f>
        <v/>
      </c>
      <c r="N276" s="7" t="n">
        <v>46048</v>
      </c>
      <c r="O276" s="6" t="str">
        <f aca="false">IF(F276="Serious",15,"N/A")</f>
        <v>N/A</v>
      </c>
      <c r="P276" s="6" t="n">
        <f aca="false">N276-B276</f>
        <v>24</v>
      </c>
      <c r="Q276" s="6" t="str">
        <f aca="false">IF(F276="Serious",IF(P276&lt;=O276,"Yes","No"),"N/A")</f>
        <v>N/A</v>
      </c>
      <c r="R276" s="6" t="str">
        <f aca="false">IF(AND(I276="Yes",L276=""),Dashboard!$B$2-K276,"")</f>
        <v/>
      </c>
    </row>
    <row r="277" customFormat="false" ht="15" hidden="false" customHeight="false" outlineLevel="0" collapsed="false">
      <c r="A277" s="6" t="s">
        <v>374</v>
      </c>
      <c r="B277" s="7" t="n">
        <v>45699</v>
      </c>
      <c r="C277" s="6" t="s">
        <v>56</v>
      </c>
      <c r="D277" s="6" t="s">
        <v>249</v>
      </c>
      <c r="E277" s="6" t="s">
        <v>250</v>
      </c>
      <c r="F277" s="6" t="s">
        <v>40</v>
      </c>
      <c r="G277" s="6" t="s">
        <v>53</v>
      </c>
      <c r="H277" s="6" t="s">
        <v>60</v>
      </c>
      <c r="I277" s="6" t="s">
        <v>61</v>
      </c>
      <c r="J277" s="6" t="s">
        <v>126</v>
      </c>
      <c r="K277" s="7" t="n">
        <v>45704</v>
      </c>
      <c r="L277" s="7" t="n">
        <v>45745</v>
      </c>
      <c r="M277" s="6" t="n">
        <f aca="false">IF(AND(K277&lt;&gt;"",L277&lt;&gt;""),L277-K277,"")</f>
        <v>41</v>
      </c>
      <c r="N277" s="7" t="n">
        <v>45707</v>
      </c>
      <c r="O277" s="6" t="n">
        <f aca="false">IF(F277="Serious",15,"N/A")</f>
        <v>15</v>
      </c>
      <c r="P277" s="6" t="n">
        <f aca="false">N277-B277</f>
        <v>8</v>
      </c>
      <c r="Q277" s="6" t="str">
        <f aca="false">IF(F277="Serious",IF(P277&lt;=O277,"Yes","No"),"N/A")</f>
        <v>Yes</v>
      </c>
      <c r="R277" s="6" t="str">
        <f aca="false">IF(AND(I277="Yes",L277=""),Dashboard!$B$2-K277,"")</f>
        <v/>
      </c>
    </row>
    <row r="278" customFormat="false" ht="15" hidden="false" customHeight="false" outlineLevel="0" collapsed="false">
      <c r="A278" s="6" t="s">
        <v>375</v>
      </c>
      <c r="B278" s="7" t="n">
        <v>46121</v>
      </c>
      <c r="C278" s="6" t="s">
        <v>64</v>
      </c>
      <c r="D278" s="6" t="s">
        <v>85</v>
      </c>
      <c r="E278" s="6" t="s">
        <v>86</v>
      </c>
      <c r="F278" s="6" t="s">
        <v>40</v>
      </c>
      <c r="G278" s="6" t="s">
        <v>53</v>
      </c>
      <c r="H278" s="6" t="s">
        <v>42</v>
      </c>
      <c r="I278" s="6" t="s">
        <v>61</v>
      </c>
      <c r="J278" s="6" t="s">
        <v>89</v>
      </c>
      <c r="K278" s="7" t="n">
        <v>46125</v>
      </c>
      <c r="L278" s="7" t="n">
        <v>46153</v>
      </c>
      <c r="M278" s="6" t="n">
        <f aca="false">IF(AND(K278&lt;&gt;"",L278&lt;&gt;""),L278-K278,"")</f>
        <v>28</v>
      </c>
      <c r="N278" s="7" t="n">
        <v>46133</v>
      </c>
      <c r="O278" s="6" t="n">
        <f aca="false">IF(F278="Serious",15,"N/A")</f>
        <v>15</v>
      </c>
      <c r="P278" s="6" t="n">
        <f aca="false">N278-B278</f>
        <v>12</v>
      </c>
      <c r="Q278" s="6" t="str">
        <f aca="false">IF(F278="Serious",IF(P278&lt;=O278,"Yes","No"),"N/A")</f>
        <v>Yes</v>
      </c>
      <c r="R278" s="6" t="str">
        <f aca="false">IF(AND(I278="Yes",L278=""),Dashboard!$B$2-K278,"")</f>
        <v/>
      </c>
    </row>
    <row r="279" customFormat="false" ht="15" hidden="false" customHeight="false" outlineLevel="0" collapsed="false">
      <c r="A279" s="6" t="s">
        <v>376</v>
      </c>
      <c r="B279" s="7" t="n">
        <v>45744</v>
      </c>
      <c r="C279" s="6" t="s">
        <v>64</v>
      </c>
      <c r="D279" s="6" t="s">
        <v>50</v>
      </c>
      <c r="E279" s="6" t="s">
        <v>51</v>
      </c>
      <c r="F279" s="6" t="s">
        <v>52</v>
      </c>
      <c r="G279" s="6" t="s">
        <v>53</v>
      </c>
      <c r="H279" s="6" t="s">
        <v>129</v>
      </c>
      <c r="I279" s="6" t="s">
        <v>61</v>
      </c>
      <c r="J279" s="6" t="s">
        <v>126</v>
      </c>
      <c r="K279" s="7" t="n">
        <v>45752</v>
      </c>
      <c r="L279" s="6"/>
      <c r="M279" s="6" t="str">
        <f aca="false">IF(AND(K279&lt;&gt;"",L279&lt;&gt;""),L279-K279,"")</f>
        <v/>
      </c>
      <c r="N279" s="7" t="n">
        <v>45754</v>
      </c>
      <c r="O279" s="6" t="str">
        <f aca="false">IF(F279="Serious",15,"N/A")</f>
        <v>N/A</v>
      </c>
      <c r="P279" s="6" t="n">
        <f aca="false">N279-B279</f>
        <v>10</v>
      </c>
      <c r="Q279" s="6" t="str">
        <f aca="false">IF(F279="Serious",IF(P279&lt;=O279,"Yes","No"),"N/A")</f>
        <v>N/A</v>
      </c>
      <c r="R279" s="6" t="n">
        <f aca="false">IF(AND(I279="Yes",L279=""),Dashboard!$B$2-K279,"")</f>
        <v>462</v>
      </c>
    </row>
    <row r="280" customFormat="false" ht="15" hidden="false" customHeight="false" outlineLevel="0" collapsed="false">
      <c r="A280" s="6" t="s">
        <v>377</v>
      </c>
      <c r="B280" s="7" t="n">
        <v>45997</v>
      </c>
      <c r="C280" s="6" t="s">
        <v>37</v>
      </c>
      <c r="D280" s="6" t="s">
        <v>79</v>
      </c>
      <c r="E280" s="6" t="s">
        <v>223</v>
      </c>
      <c r="F280" s="6" t="s">
        <v>40</v>
      </c>
      <c r="G280" s="6" t="s">
        <v>71</v>
      </c>
      <c r="H280" s="6" t="s">
        <v>60</v>
      </c>
      <c r="I280" s="6" t="s">
        <v>43</v>
      </c>
      <c r="J280" s="6"/>
      <c r="K280" s="6"/>
      <c r="L280" s="6"/>
      <c r="M280" s="6" t="str">
        <f aca="false">IF(AND(K280&lt;&gt;"",L280&lt;&gt;""),L280-K280,"")</f>
        <v/>
      </c>
      <c r="N280" s="7" t="n">
        <v>46005</v>
      </c>
      <c r="O280" s="6" t="n">
        <f aca="false">IF(F280="Serious",15,"N/A")</f>
        <v>15</v>
      </c>
      <c r="P280" s="6" t="n">
        <f aca="false">N280-B280</f>
        <v>8</v>
      </c>
      <c r="Q280" s="6" t="str">
        <f aca="false">IF(F280="Serious",IF(P280&lt;=O280,"Yes","No"),"N/A")</f>
        <v>Yes</v>
      </c>
      <c r="R280" s="6" t="str">
        <f aca="false">IF(AND(I280="Yes",L280=""),Dashboard!$B$2-K280,"")</f>
        <v/>
      </c>
    </row>
    <row r="281" customFormat="false" ht="15" hidden="false" customHeight="false" outlineLevel="0" collapsed="false">
      <c r="A281" s="6" t="s">
        <v>378</v>
      </c>
      <c r="B281" s="7" t="n">
        <v>46094</v>
      </c>
      <c r="C281" s="6" t="s">
        <v>56</v>
      </c>
      <c r="D281" s="6" t="s">
        <v>249</v>
      </c>
      <c r="E281" s="6" t="s">
        <v>250</v>
      </c>
      <c r="F281" s="6" t="s">
        <v>52</v>
      </c>
      <c r="G281" s="6" t="s">
        <v>53</v>
      </c>
      <c r="H281" s="6" t="s">
        <v>60</v>
      </c>
      <c r="I281" s="6" t="s">
        <v>61</v>
      </c>
      <c r="J281" s="6" t="s">
        <v>76</v>
      </c>
      <c r="K281" s="7" t="n">
        <v>46104</v>
      </c>
      <c r="L281" s="7" t="n">
        <v>46125</v>
      </c>
      <c r="M281" s="6" t="n">
        <f aca="false">IF(AND(K281&lt;&gt;"",L281&lt;&gt;""),L281-K281,"")</f>
        <v>21</v>
      </c>
      <c r="N281" s="7" t="n">
        <v>46130</v>
      </c>
      <c r="O281" s="6" t="str">
        <f aca="false">IF(F281="Serious",15,"N/A")</f>
        <v>N/A</v>
      </c>
      <c r="P281" s="6" t="n">
        <f aca="false">N281-B281</f>
        <v>36</v>
      </c>
      <c r="Q281" s="6" t="str">
        <f aca="false">IF(F281="Serious",IF(P281&lt;=O281,"Yes","No"),"N/A")</f>
        <v>N/A</v>
      </c>
      <c r="R281" s="6" t="str">
        <f aca="false">IF(AND(I281="Yes",L281=""),Dashboard!$B$2-K281,"")</f>
        <v/>
      </c>
    </row>
    <row r="282" customFormat="false" ht="15" hidden="false" customHeight="false" outlineLevel="0" collapsed="false">
      <c r="A282" s="6" t="s">
        <v>379</v>
      </c>
      <c r="B282" s="7" t="n">
        <v>46079</v>
      </c>
      <c r="C282" s="6" t="s">
        <v>64</v>
      </c>
      <c r="D282" s="6" t="s">
        <v>69</v>
      </c>
      <c r="E282" s="6" t="s">
        <v>118</v>
      </c>
      <c r="F282" s="6" t="s">
        <v>40</v>
      </c>
      <c r="G282" s="6" t="s">
        <v>59</v>
      </c>
      <c r="H282" s="6" t="s">
        <v>60</v>
      </c>
      <c r="I282" s="6" t="s">
        <v>43</v>
      </c>
      <c r="J282" s="6"/>
      <c r="K282" s="6"/>
      <c r="L282" s="6"/>
      <c r="M282" s="6" t="str">
        <f aca="false">IF(AND(K282&lt;&gt;"",L282&lt;&gt;""),L282-K282,"")</f>
        <v/>
      </c>
      <c r="N282" s="7" t="n">
        <v>46084</v>
      </c>
      <c r="O282" s="6" t="n">
        <f aca="false">IF(F282="Serious",15,"N/A")</f>
        <v>15</v>
      </c>
      <c r="P282" s="6" t="n">
        <f aca="false">N282-B282</f>
        <v>5</v>
      </c>
      <c r="Q282" s="6" t="str">
        <f aca="false">IF(F282="Serious",IF(P282&lt;=O282,"Yes","No"),"N/A")</f>
        <v>Yes</v>
      </c>
      <c r="R282" s="6" t="str">
        <f aca="false">IF(AND(I282="Yes",L282=""),Dashboard!$B$2-K282,"")</f>
        <v/>
      </c>
    </row>
    <row r="283" customFormat="false" ht="15" hidden="false" customHeight="false" outlineLevel="0" collapsed="false">
      <c r="A283" s="6" t="s">
        <v>380</v>
      </c>
      <c r="B283" s="7" t="n">
        <v>45677</v>
      </c>
      <c r="C283" s="6" t="s">
        <v>49</v>
      </c>
      <c r="D283" s="6" t="s">
        <v>249</v>
      </c>
      <c r="E283" s="6" t="s">
        <v>278</v>
      </c>
      <c r="F283" s="6" t="s">
        <v>52</v>
      </c>
      <c r="G283" s="6" t="s">
        <v>59</v>
      </c>
      <c r="H283" s="6" t="s">
        <v>54</v>
      </c>
      <c r="I283" s="6" t="s">
        <v>61</v>
      </c>
      <c r="J283" s="6" t="s">
        <v>74</v>
      </c>
      <c r="K283" s="7" t="n">
        <v>45682</v>
      </c>
      <c r="L283" s="7" t="n">
        <v>45693</v>
      </c>
      <c r="M283" s="6" t="n">
        <f aca="false">IF(AND(K283&lt;&gt;"",L283&lt;&gt;""),L283-K283,"")</f>
        <v>11</v>
      </c>
      <c r="N283" s="7" t="n">
        <v>45696</v>
      </c>
      <c r="O283" s="6" t="str">
        <f aca="false">IF(F283="Serious",15,"N/A")</f>
        <v>N/A</v>
      </c>
      <c r="P283" s="6" t="n">
        <f aca="false">N283-B283</f>
        <v>19</v>
      </c>
      <c r="Q283" s="6" t="str">
        <f aca="false">IF(F283="Serious",IF(P283&lt;=O283,"Yes","No"),"N/A")</f>
        <v>N/A</v>
      </c>
      <c r="R283" s="6" t="str">
        <f aca="false">IF(AND(I283="Yes",L283=""),Dashboard!$B$2-K283,"")</f>
        <v/>
      </c>
    </row>
    <row r="284" customFormat="false" ht="15" hidden="false" customHeight="false" outlineLevel="0" collapsed="false">
      <c r="A284" s="6" t="s">
        <v>381</v>
      </c>
      <c r="B284" s="7" t="n">
        <v>45688</v>
      </c>
      <c r="C284" s="6" t="s">
        <v>73</v>
      </c>
      <c r="D284" s="6" t="s">
        <v>79</v>
      </c>
      <c r="E284" s="6" t="s">
        <v>223</v>
      </c>
      <c r="F284" s="6" t="s">
        <v>52</v>
      </c>
      <c r="G284" s="6" t="s">
        <v>41</v>
      </c>
      <c r="H284" s="6" t="s">
        <v>129</v>
      </c>
      <c r="I284" s="6" t="s">
        <v>43</v>
      </c>
      <c r="J284" s="6"/>
      <c r="K284" s="6"/>
      <c r="L284" s="6"/>
      <c r="M284" s="6" t="str">
        <f aca="false">IF(AND(K284&lt;&gt;"",L284&lt;&gt;""),L284-K284,"")</f>
        <v/>
      </c>
      <c r="N284" s="7" t="n">
        <v>45699</v>
      </c>
      <c r="O284" s="6" t="str">
        <f aca="false">IF(F284="Serious",15,"N/A")</f>
        <v>N/A</v>
      </c>
      <c r="P284" s="6" t="n">
        <f aca="false">N284-B284</f>
        <v>11</v>
      </c>
      <c r="Q284" s="6" t="str">
        <f aca="false">IF(F284="Serious",IF(P284&lt;=O284,"Yes","No"),"N/A")</f>
        <v>N/A</v>
      </c>
      <c r="R284" s="6" t="str">
        <f aca="false">IF(AND(I284="Yes",L284=""),Dashboard!$B$2-K284,"")</f>
        <v/>
      </c>
    </row>
    <row r="285" customFormat="false" ht="15" hidden="false" customHeight="false" outlineLevel="0" collapsed="false">
      <c r="A285" s="6" t="s">
        <v>382</v>
      </c>
      <c r="B285" s="7" t="n">
        <v>45911</v>
      </c>
      <c r="C285" s="6" t="s">
        <v>56</v>
      </c>
      <c r="D285" s="6" t="s">
        <v>38</v>
      </c>
      <c r="E285" s="6" t="s">
        <v>39</v>
      </c>
      <c r="F285" s="6" t="s">
        <v>52</v>
      </c>
      <c r="G285" s="6" t="s">
        <v>71</v>
      </c>
      <c r="H285" s="6" t="s">
        <v>42</v>
      </c>
      <c r="I285" s="6" t="s">
        <v>43</v>
      </c>
      <c r="J285" s="6"/>
      <c r="K285" s="6"/>
      <c r="L285" s="6"/>
      <c r="M285" s="6" t="str">
        <f aca="false">IF(AND(K285&lt;&gt;"",L285&lt;&gt;""),L285-K285,"")</f>
        <v/>
      </c>
      <c r="N285" s="7" t="n">
        <v>45940</v>
      </c>
      <c r="O285" s="6" t="str">
        <f aca="false">IF(F285="Serious",15,"N/A")</f>
        <v>N/A</v>
      </c>
      <c r="P285" s="6" t="n">
        <f aca="false">N285-B285</f>
        <v>29</v>
      </c>
      <c r="Q285" s="6" t="str">
        <f aca="false">IF(F285="Serious",IF(P285&lt;=O285,"Yes","No"),"N/A")</f>
        <v>N/A</v>
      </c>
      <c r="R285" s="6" t="str">
        <f aca="false">IF(AND(I285="Yes",L285=""),Dashboard!$B$2-K285,"")</f>
        <v/>
      </c>
    </row>
    <row r="286" customFormat="false" ht="15" hidden="false" customHeight="false" outlineLevel="0" collapsed="false">
      <c r="A286" s="6" t="s">
        <v>383</v>
      </c>
      <c r="B286" s="7" t="n">
        <v>46021</v>
      </c>
      <c r="C286" s="6" t="s">
        <v>56</v>
      </c>
      <c r="D286" s="6" t="s">
        <v>82</v>
      </c>
      <c r="E286" s="6" t="s">
        <v>116</v>
      </c>
      <c r="F286" s="6" t="s">
        <v>52</v>
      </c>
      <c r="G286" s="6" t="s">
        <v>88</v>
      </c>
      <c r="H286" s="6" t="s">
        <v>42</v>
      </c>
      <c r="I286" s="6" t="s">
        <v>43</v>
      </c>
      <c r="J286" s="6"/>
      <c r="K286" s="6"/>
      <c r="L286" s="6"/>
      <c r="M286" s="6" t="str">
        <f aca="false">IF(AND(K286&lt;&gt;"",L286&lt;&gt;""),L286-K286,"")</f>
        <v/>
      </c>
      <c r="N286" s="7" t="n">
        <v>46027</v>
      </c>
      <c r="O286" s="6" t="str">
        <f aca="false">IF(F286="Serious",15,"N/A")</f>
        <v>N/A</v>
      </c>
      <c r="P286" s="6" t="n">
        <f aca="false">N286-B286</f>
        <v>6</v>
      </c>
      <c r="Q286" s="6" t="str">
        <f aca="false">IF(F286="Serious",IF(P286&lt;=O286,"Yes","No"),"N/A")</f>
        <v>N/A</v>
      </c>
      <c r="R286" s="6" t="str">
        <f aca="false">IF(AND(I286="Yes",L286=""),Dashboard!$B$2-K286,"")</f>
        <v/>
      </c>
    </row>
    <row r="287" customFormat="false" ht="15" hidden="false" customHeight="false" outlineLevel="0" collapsed="false">
      <c r="A287" s="6" t="s">
        <v>384</v>
      </c>
      <c r="B287" s="7" t="n">
        <v>46018</v>
      </c>
      <c r="C287" s="6" t="s">
        <v>64</v>
      </c>
      <c r="D287" s="6" t="s">
        <v>50</v>
      </c>
      <c r="E287" s="6" t="s">
        <v>138</v>
      </c>
      <c r="F287" s="6" t="s">
        <v>52</v>
      </c>
      <c r="G287" s="6" t="s">
        <v>53</v>
      </c>
      <c r="H287" s="6" t="s">
        <v>129</v>
      </c>
      <c r="I287" s="6" t="s">
        <v>43</v>
      </c>
      <c r="J287" s="6"/>
      <c r="K287" s="6"/>
      <c r="L287" s="6"/>
      <c r="M287" s="6" t="str">
        <f aca="false">IF(AND(K287&lt;&gt;"",L287&lt;&gt;""),L287-K287,"")</f>
        <v/>
      </c>
      <c r="N287" s="7" t="n">
        <v>46054</v>
      </c>
      <c r="O287" s="6" t="str">
        <f aca="false">IF(F287="Serious",15,"N/A")</f>
        <v>N/A</v>
      </c>
      <c r="P287" s="6" t="n">
        <f aca="false">N287-B287</f>
        <v>36</v>
      </c>
      <c r="Q287" s="6" t="str">
        <f aca="false">IF(F287="Serious",IF(P287&lt;=O287,"Yes","No"),"N/A")</f>
        <v>N/A</v>
      </c>
      <c r="R287" s="6" t="str">
        <f aca="false">IF(AND(I287="Yes",L287=""),Dashboard!$B$2-K287,"")</f>
        <v/>
      </c>
    </row>
    <row r="288" customFormat="false" ht="15" hidden="false" customHeight="false" outlineLevel="0" collapsed="false">
      <c r="A288" s="6" t="s">
        <v>385</v>
      </c>
      <c r="B288" s="7" t="n">
        <v>45974</v>
      </c>
      <c r="C288" s="6" t="s">
        <v>56</v>
      </c>
      <c r="D288" s="6" t="s">
        <v>69</v>
      </c>
      <c r="E288" s="6" t="s">
        <v>118</v>
      </c>
      <c r="F288" s="6" t="s">
        <v>40</v>
      </c>
      <c r="G288" s="6" t="s">
        <v>53</v>
      </c>
      <c r="H288" s="6" t="s">
        <v>60</v>
      </c>
      <c r="I288" s="6" t="s">
        <v>61</v>
      </c>
      <c r="J288" s="6" t="s">
        <v>89</v>
      </c>
      <c r="K288" s="7" t="n">
        <v>45980</v>
      </c>
      <c r="L288" s="6"/>
      <c r="M288" s="6" t="str">
        <f aca="false">IF(AND(K288&lt;&gt;"",L288&lt;&gt;""),L288-K288,"")</f>
        <v/>
      </c>
      <c r="N288" s="7" t="n">
        <v>45978</v>
      </c>
      <c r="O288" s="6" t="n">
        <f aca="false">IF(F288="Serious",15,"N/A")</f>
        <v>15</v>
      </c>
      <c r="P288" s="6" t="n">
        <f aca="false">N288-B288</f>
        <v>4</v>
      </c>
      <c r="Q288" s="6" t="str">
        <f aca="false">IF(F288="Serious",IF(P288&lt;=O288,"Yes","No"),"N/A")</f>
        <v>Yes</v>
      </c>
      <c r="R288" s="6" t="n">
        <f aca="false">IF(AND(I288="Yes",L288=""),Dashboard!$B$2-K288,"")</f>
        <v>234</v>
      </c>
    </row>
    <row r="289" customFormat="false" ht="15" hidden="false" customHeight="false" outlineLevel="0" collapsed="false">
      <c r="A289" s="6" t="s">
        <v>386</v>
      </c>
      <c r="B289" s="7" t="n">
        <v>46006</v>
      </c>
      <c r="C289" s="6" t="s">
        <v>56</v>
      </c>
      <c r="D289" s="6" t="s">
        <v>249</v>
      </c>
      <c r="E289" s="6" t="s">
        <v>250</v>
      </c>
      <c r="F289" s="6" t="s">
        <v>40</v>
      </c>
      <c r="G289" s="6" t="s">
        <v>47</v>
      </c>
      <c r="H289" s="6" t="s">
        <v>54</v>
      </c>
      <c r="I289" s="6" t="s">
        <v>43</v>
      </c>
      <c r="J289" s="6"/>
      <c r="K289" s="6"/>
      <c r="L289" s="6"/>
      <c r="M289" s="6" t="str">
        <f aca="false">IF(AND(K289&lt;&gt;"",L289&lt;&gt;""),L289-K289,"")</f>
        <v/>
      </c>
      <c r="N289" s="7" t="n">
        <v>46013</v>
      </c>
      <c r="O289" s="6" t="n">
        <f aca="false">IF(F289="Serious",15,"N/A")</f>
        <v>15</v>
      </c>
      <c r="P289" s="6" t="n">
        <f aca="false">N289-B289</f>
        <v>7</v>
      </c>
      <c r="Q289" s="6" t="str">
        <f aca="false">IF(F289="Serious",IF(P289&lt;=O289,"Yes","No"),"N/A")</f>
        <v>Yes</v>
      </c>
      <c r="R289" s="6" t="str">
        <f aca="false">IF(AND(I289="Yes",L289=""),Dashboard!$B$2-K289,"")</f>
        <v/>
      </c>
    </row>
    <row r="290" customFormat="false" ht="15" hidden="false" customHeight="false" outlineLevel="0" collapsed="false">
      <c r="A290" s="6" t="s">
        <v>387</v>
      </c>
      <c r="B290" s="7" t="n">
        <v>45732</v>
      </c>
      <c r="C290" s="6" t="s">
        <v>73</v>
      </c>
      <c r="D290" s="6" t="s">
        <v>101</v>
      </c>
      <c r="E290" s="6" t="s">
        <v>132</v>
      </c>
      <c r="F290" s="6" t="s">
        <v>40</v>
      </c>
      <c r="G290" s="6" t="s">
        <v>59</v>
      </c>
      <c r="H290" s="6" t="s">
        <v>60</v>
      </c>
      <c r="I290" s="6" t="s">
        <v>61</v>
      </c>
      <c r="J290" s="6" t="s">
        <v>74</v>
      </c>
      <c r="K290" s="7" t="n">
        <v>45740</v>
      </c>
      <c r="L290" s="7" t="n">
        <v>45748</v>
      </c>
      <c r="M290" s="6" t="n">
        <f aca="false">IF(AND(K290&lt;&gt;"",L290&lt;&gt;""),L290-K290,"")</f>
        <v>8</v>
      </c>
      <c r="N290" s="7" t="n">
        <v>45759</v>
      </c>
      <c r="O290" s="6" t="n">
        <f aca="false">IF(F290="Serious",15,"N/A")</f>
        <v>15</v>
      </c>
      <c r="P290" s="6" t="n">
        <f aca="false">N290-B290</f>
        <v>27</v>
      </c>
      <c r="Q290" s="6" t="str">
        <f aca="false">IF(F290="Serious",IF(P290&lt;=O290,"Yes","No"),"N/A")</f>
        <v>No</v>
      </c>
      <c r="R290" s="6" t="str">
        <f aca="false">IF(AND(I290="Yes",L290=""),Dashboard!$B$2-K290,"")</f>
        <v/>
      </c>
    </row>
    <row r="291" customFormat="false" ht="15" hidden="false" customHeight="false" outlineLevel="0" collapsed="false">
      <c r="A291" s="6" t="s">
        <v>388</v>
      </c>
      <c r="B291" s="7" t="n">
        <v>46023</v>
      </c>
      <c r="C291" s="6" t="s">
        <v>56</v>
      </c>
      <c r="D291" s="6" t="s">
        <v>50</v>
      </c>
      <c r="E291" s="6" t="s">
        <v>138</v>
      </c>
      <c r="F291" s="6" t="s">
        <v>52</v>
      </c>
      <c r="G291" s="6" t="s">
        <v>41</v>
      </c>
      <c r="H291" s="6" t="s">
        <v>60</v>
      </c>
      <c r="I291" s="6" t="s">
        <v>61</v>
      </c>
      <c r="J291" s="6" t="s">
        <v>89</v>
      </c>
      <c r="K291" s="7" t="n">
        <v>46033</v>
      </c>
      <c r="L291" s="7" t="n">
        <v>46074</v>
      </c>
      <c r="M291" s="6" t="n">
        <f aca="false">IF(AND(K291&lt;&gt;"",L291&lt;&gt;""),L291-K291,"")</f>
        <v>41</v>
      </c>
      <c r="N291" s="7" t="n">
        <v>46064</v>
      </c>
      <c r="O291" s="6" t="str">
        <f aca="false">IF(F291="Serious",15,"N/A")</f>
        <v>N/A</v>
      </c>
      <c r="P291" s="6" t="n">
        <f aca="false">N291-B291</f>
        <v>41</v>
      </c>
      <c r="Q291" s="6" t="str">
        <f aca="false">IF(F291="Serious",IF(P291&lt;=O291,"Yes","No"),"N/A")</f>
        <v>N/A</v>
      </c>
      <c r="R291" s="6" t="str">
        <f aca="false">IF(AND(I291="Yes",L291=""),Dashboard!$B$2-K291,"")</f>
        <v/>
      </c>
    </row>
    <row r="292" customFormat="false" ht="15" hidden="false" customHeight="false" outlineLevel="0" collapsed="false">
      <c r="A292" s="6" t="s">
        <v>389</v>
      </c>
      <c r="B292" s="7" t="n">
        <v>45691</v>
      </c>
      <c r="C292" s="6" t="s">
        <v>56</v>
      </c>
      <c r="D292" s="6" t="s">
        <v>50</v>
      </c>
      <c r="E292" s="6" t="s">
        <v>51</v>
      </c>
      <c r="F292" s="6" t="s">
        <v>52</v>
      </c>
      <c r="G292" s="6" t="s">
        <v>121</v>
      </c>
      <c r="H292" s="6" t="s">
        <v>60</v>
      </c>
      <c r="I292" s="6" t="s">
        <v>61</v>
      </c>
      <c r="J292" s="6" t="s">
        <v>74</v>
      </c>
      <c r="K292" s="7" t="n">
        <v>45694</v>
      </c>
      <c r="L292" s="7" t="n">
        <v>45699</v>
      </c>
      <c r="M292" s="6" t="n">
        <f aca="false">IF(AND(K292&lt;&gt;"",L292&lt;&gt;""),L292-K292,"")</f>
        <v>5</v>
      </c>
      <c r="N292" s="7" t="n">
        <v>45718</v>
      </c>
      <c r="O292" s="6" t="str">
        <f aca="false">IF(F292="Serious",15,"N/A")</f>
        <v>N/A</v>
      </c>
      <c r="P292" s="6" t="n">
        <f aca="false">N292-B292</f>
        <v>27</v>
      </c>
      <c r="Q292" s="6" t="str">
        <f aca="false">IF(F292="Serious",IF(P292&lt;=O292,"Yes","No"),"N/A")</f>
        <v>N/A</v>
      </c>
      <c r="R292" s="6" t="str">
        <f aca="false">IF(AND(I292="Yes",L292=""),Dashboard!$B$2-K292,"")</f>
        <v/>
      </c>
    </row>
    <row r="293" customFormat="false" ht="15" hidden="false" customHeight="false" outlineLevel="0" collapsed="false">
      <c r="A293" s="6" t="s">
        <v>390</v>
      </c>
      <c r="B293" s="7" t="n">
        <v>45985</v>
      </c>
      <c r="C293" s="6" t="s">
        <v>56</v>
      </c>
      <c r="D293" s="6" t="s">
        <v>45</v>
      </c>
      <c r="E293" s="6" t="s">
        <v>91</v>
      </c>
      <c r="F293" s="6" t="s">
        <v>52</v>
      </c>
      <c r="G293" s="6" t="s">
        <v>41</v>
      </c>
      <c r="H293" s="6" t="s">
        <v>60</v>
      </c>
      <c r="I293" s="6" t="s">
        <v>61</v>
      </c>
      <c r="J293" s="6" t="s">
        <v>98</v>
      </c>
      <c r="K293" s="7" t="n">
        <v>45989</v>
      </c>
      <c r="L293" s="7" t="n">
        <v>46001</v>
      </c>
      <c r="M293" s="6" t="n">
        <f aca="false">IF(AND(K293&lt;&gt;"",L293&lt;&gt;""),L293-K293,"")</f>
        <v>12</v>
      </c>
      <c r="N293" s="7" t="n">
        <v>46040</v>
      </c>
      <c r="O293" s="6" t="str">
        <f aca="false">IF(F293="Serious",15,"N/A")</f>
        <v>N/A</v>
      </c>
      <c r="P293" s="6" t="n">
        <f aca="false">N293-B293</f>
        <v>55</v>
      </c>
      <c r="Q293" s="6" t="str">
        <f aca="false">IF(F293="Serious",IF(P293&lt;=O293,"Yes","No"),"N/A")</f>
        <v>N/A</v>
      </c>
      <c r="R293" s="6" t="str">
        <f aca="false">IF(AND(I293="Yes",L293=""),Dashboard!$B$2-K293,"")</f>
        <v/>
      </c>
    </row>
    <row r="294" customFormat="false" ht="15" hidden="false" customHeight="false" outlineLevel="0" collapsed="false">
      <c r="A294" s="6" t="s">
        <v>391</v>
      </c>
      <c r="B294" s="7" t="n">
        <v>45768</v>
      </c>
      <c r="C294" s="6" t="s">
        <v>37</v>
      </c>
      <c r="D294" s="6" t="s">
        <v>79</v>
      </c>
      <c r="E294" s="6" t="s">
        <v>223</v>
      </c>
      <c r="F294" s="6" t="s">
        <v>52</v>
      </c>
      <c r="G294" s="6" t="s">
        <v>59</v>
      </c>
      <c r="H294" s="6" t="s">
        <v>60</v>
      </c>
      <c r="I294" s="6" t="s">
        <v>61</v>
      </c>
      <c r="J294" s="6" t="s">
        <v>74</v>
      </c>
      <c r="K294" s="7" t="n">
        <v>45774</v>
      </c>
      <c r="L294" s="7" t="n">
        <v>45780</v>
      </c>
      <c r="M294" s="6" t="n">
        <f aca="false">IF(AND(K294&lt;&gt;"",L294&lt;&gt;""),L294-K294,"")</f>
        <v>6</v>
      </c>
      <c r="N294" s="7" t="n">
        <v>45803</v>
      </c>
      <c r="O294" s="6" t="str">
        <f aca="false">IF(F294="Serious",15,"N/A")</f>
        <v>N/A</v>
      </c>
      <c r="P294" s="6" t="n">
        <f aca="false">N294-B294</f>
        <v>35</v>
      </c>
      <c r="Q294" s="6" t="str">
        <f aca="false">IF(F294="Serious",IF(P294&lt;=O294,"Yes","No"),"N/A")</f>
        <v>N/A</v>
      </c>
      <c r="R294" s="6" t="str">
        <f aca="false">IF(AND(I294="Yes",L294=""),Dashboard!$B$2-K294,"")</f>
        <v/>
      </c>
    </row>
    <row r="295" customFormat="false" ht="15" hidden="false" customHeight="false" outlineLevel="0" collapsed="false">
      <c r="A295" s="6" t="s">
        <v>392</v>
      </c>
      <c r="B295" s="7" t="n">
        <v>45888</v>
      </c>
      <c r="C295" s="6" t="s">
        <v>56</v>
      </c>
      <c r="D295" s="6" t="s">
        <v>69</v>
      </c>
      <c r="E295" s="6" t="s">
        <v>118</v>
      </c>
      <c r="F295" s="6" t="s">
        <v>52</v>
      </c>
      <c r="G295" s="6" t="s">
        <v>53</v>
      </c>
      <c r="H295" s="6" t="s">
        <v>60</v>
      </c>
      <c r="I295" s="6" t="s">
        <v>61</v>
      </c>
      <c r="J295" s="6" t="s">
        <v>89</v>
      </c>
      <c r="K295" s="7" t="n">
        <v>45890</v>
      </c>
      <c r="L295" s="7" t="n">
        <v>45921</v>
      </c>
      <c r="M295" s="6" t="n">
        <f aca="false">IF(AND(K295&lt;&gt;"",L295&lt;&gt;""),L295-K295,"")</f>
        <v>31</v>
      </c>
      <c r="N295" s="7" t="n">
        <v>45903</v>
      </c>
      <c r="O295" s="6" t="str">
        <f aca="false">IF(F295="Serious",15,"N/A")</f>
        <v>N/A</v>
      </c>
      <c r="P295" s="6" t="n">
        <f aca="false">N295-B295</f>
        <v>15</v>
      </c>
      <c r="Q295" s="6" t="str">
        <f aca="false">IF(F295="Serious",IF(P295&lt;=O295,"Yes","No"),"N/A")</f>
        <v>N/A</v>
      </c>
      <c r="R295" s="6" t="str">
        <f aca="false">IF(AND(I295="Yes",L295=""),Dashboard!$B$2-K295,"")</f>
        <v/>
      </c>
    </row>
    <row r="296" customFormat="false" ht="15" hidden="false" customHeight="false" outlineLevel="0" collapsed="false">
      <c r="A296" s="6" t="s">
        <v>393</v>
      </c>
      <c r="B296" s="7" t="n">
        <v>45734</v>
      </c>
      <c r="C296" s="6" t="s">
        <v>64</v>
      </c>
      <c r="D296" s="6" t="s">
        <v>45</v>
      </c>
      <c r="E296" s="6" t="s">
        <v>167</v>
      </c>
      <c r="F296" s="6" t="s">
        <v>52</v>
      </c>
      <c r="G296" s="6" t="s">
        <v>47</v>
      </c>
      <c r="H296" s="6" t="s">
        <v>42</v>
      </c>
      <c r="I296" s="6" t="s">
        <v>61</v>
      </c>
      <c r="J296" s="6" t="s">
        <v>126</v>
      </c>
      <c r="K296" s="7" t="n">
        <v>45737</v>
      </c>
      <c r="L296" s="7" t="n">
        <v>45751</v>
      </c>
      <c r="M296" s="6" t="n">
        <f aca="false">IF(AND(K296&lt;&gt;"",L296&lt;&gt;""),L296-K296,"")</f>
        <v>14</v>
      </c>
      <c r="N296" s="7" t="n">
        <v>45742</v>
      </c>
      <c r="O296" s="6" t="str">
        <f aca="false">IF(F296="Serious",15,"N/A")</f>
        <v>N/A</v>
      </c>
      <c r="P296" s="6" t="n">
        <f aca="false">N296-B296</f>
        <v>8</v>
      </c>
      <c r="Q296" s="6" t="str">
        <f aca="false">IF(F296="Serious",IF(P296&lt;=O296,"Yes","No"),"N/A")</f>
        <v>N/A</v>
      </c>
      <c r="R296" s="6" t="str">
        <f aca="false">IF(AND(I296="Yes",L296=""),Dashboard!$B$2-K296,"")</f>
        <v/>
      </c>
    </row>
    <row r="297" customFormat="false" ht="15" hidden="false" customHeight="false" outlineLevel="0" collapsed="false">
      <c r="A297" s="6" t="s">
        <v>394</v>
      </c>
      <c r="B297" s="7" t="n">
        <v>45761</v>
      </c>
      <c r="C297" s="6" t="s">
        <v>73</v>
      </c>
      <c r="D297" s="6" t="s">
        <v>57</v>
      </c>
      <c r="E297" s="6" t="s">
        <v>94</v>
      </c>
      <c r="F297" s="6" t="s">
        <v>52</v>
      </c>
      <c r="G297" s="6" t="s">
        <v>47</v>
      </c>
      <c r="H297" s="6" t="s">
        <v>54</v>
      </c>
      <c r="I297" s="6" t="s">
        <v>61</v>
      </c>
      <c r="J297" s="6" t="s">
        <v>126</v>
      </c>
      <c r="K297" s="7" t="n">
        <v>45766</v>
      </c>
      <c r="L297" s="7" t="n">
        <v>45772</v>
      </c>
      <c r="M297" s="6" t="n">
        <f aca="false">IF(AND(K297&lt;&gt;"",L297&lt;&gt;""),L297-K297,"")</f>
        <v>6</v>
      </c>
      <c r="N297" s="7" t="n">
        <v>45791</v>
      </c>
      <c r="O297" s="6" t="str">
        <f aca="false">IF(F297="Serious",15,"N/A")</f>
        <v>N/A</v>
      </c>
      <c r="P297" s="6" t="n">
        <f aca="false">N297-B297</f>
        <v>30</v>
      </c>
      <c r="Q297" s="6" t="str">
        <f aca="false">IF(F297="Serious",IF(P297&lt;=O297,"Yes","No"),"N/A")</f>
        <v>N/A</v>
      </c>
      <c r="R297" s="6" t="str">
        <f aca="false">IF(AND(I297="Yes",L297=""),Dashboard!$B$2-K297,"")</f>
        <v/>
      </c>
    </row>
    <row r="298" customFormat="false" ht="15" hidden="false" customHeight="false" outlineLevel="0" collapsed="false">
      <c r="A298" s="6" t="s">
        <v>395</v>
      </c>
      <c r="B298" s="7" t="n">
        <v>46160</v>
      </c>
      <c r="C298" s="6" t="s">
        <v>56</v>
      </c>
      <c r="D298" s="6" t="s">
        <v>79</v>
      </c>
      <c r="E298" s="6" t="s">
        <v>112</v>
      </c>
      <c r="F298" s="6" t="s">
        <v>40</v>
      </c>
      <c r="G298" s="6" t="s">
        <v>53</v>
      </c>
      <c r="H298" s="6" t="s">
        <v>54</v>
      </c>
      <c r="I298" s="6" t="s">
        <v>43</v>
      </c>
      <c r="J298" s="6"/>
      <c r="K298" s="6"/>
      <c r="L298" s="6"/>
      <c r="M298" s="6" t="str">
        <f aca="false">IF(AND(K298&lt;&gt;"",L298&lt;&gt;""),L298-K298,"")</f>
        <v/>
      </c>
      <c r="N298" s="7" t="n">
        <v>46163</v>
      </c>
      <c r="O298" s="6" t="n">
        <f aca="false">IF(F298="Serious",15,"N/A")</f>
        <v>15</v>
      </c>
      <c r="P298" s="6" t="n">
        <f aca="false">N298-B298</f>
        <v>3</v>
      </c>
      <c r="Q298" s="6" t="str">
        <f aca="false">IF(F298="Serious",IF(P298&lt;=O298,"Yes","No"),"N/A")</f>
        <v>Yes</v>
      </c>
      <c r="R298" s="6" t="str">
        <f aca="false">IF(AND(I298="Yes",L298=""),Dashboard!$B$2-K298,"")</f>
        <v/>
      </c>
    </row>
    <row r="299" customFormat="false" ht="15" hidden="false" customHeight="false" outlineLevel="0" collapsed="false">
      <c r="A299" s="6" t="s">
        <v>396</v>
      </c>
      <c r="B299" s="7" t="n">
        <v>45684</v>
      </c>
      <c r="C299" s="6" t="s">
        <v>56</v>
      </c>
      <c r="D299" s="6" t="s">
        <v>82</v>
      </c>
      <c r="E299" s="6" t="s">
        <v>193</v>
      </c>
      <c r="F299" s="6" t="s">
        <v>52</v>
      </c>
      <c r="G299" s="6" t="s">
        <v>53</v>
      </c>
      <c r="H299" s="6" t="s">
        <v>54</v>
      </c>
      <c r="I299" s="6" t="s">
        <v>61</v>
      </c>
      <c r="J299" s="6" t="s">
        <v>74</v>
      </c>
      <c r="K299" s="7" t="n">
        <v>45692</v>
      </c>
      <c r="L299" s="7" t="n">
        <v>45713</v>
      </c>
      <c r="M299" s="6" t="n">
        <f aca="false">IF(AND(K299&lt;&gt;"",L299&lt;&gt;""),L299-K299,"")</f>
        <v>21</v>
      </c>
      <c r="N299" s="7" t="n">
        <v>45694</v>
      </c>
      <c r="O299" s="6" t="str">
        <f aca="false">IF(F299="Serious",15,"N/A")</f>
        <v>N/A</v>
      </c>
      <c r="P299" s="6" t="n">
        <f aca="false">N299-B299</f>
        <v>10</v>
      </c>
      <c r="Q299" s="6" t="str">
        <f aca="false">IF(F299="Serious",IF(P299&lt;=O299,"Yes","No"),"N/A")</f>
        <v>N/A</v>
      </c>
      <c r="R299" s="6" t="str">
        <f aca="false">IF(AND(I299="Yes",L299=""),Dashboard!$B$2-K299,"")</f>
        <v/>
      </c>
    </row>
    <row r="300" customFormat="false" ht="15" hidden="false" customHeight="false" outlineLevel="0" collapsed="false">
      <c r="A300" s="6" t="s">
        <v>397</v>
      </c>
      <c r="B300" s="7" t="n">
        <v>46054</v>
      </c>
      <c r="C300" s="6" t="s">
        <v>56</v>
      </c>
      <c r="D300" s="6" t="s">
        <v>249</v>
      </c>
      <c r="E300" s="6" t="s">
        <v>278</v>
      </c>
      <c r="F300" s="6" t="s">
        <v>52</v>
      </c>
      <c r="G300" s="6" t="s">
        <v>59</v>
      </c>
      <c r="H300" s="6" t="s">
        <v>60</v>
      </c>
      <c r="I300" s="6" t="s">
        <v>61</v>
      </c>
      <c r="J300" s="6" t="s">
        <v>98</v>
      </c>
      <c r="K300" s="7" t="n">
        <v>46059</v>
      </c>
      <c r="L300" s="7" t="n">
        <v>46066</v>
      </c>
      <c r="M300" s="6" t="n">
        <f aca="false">IF(AND(K300&lt;&gt;"",L300&lt;&gt;""),L300-K300,"")</f>
        <v>7</v>
      </c>
      <c r="N300" s="7" t="n">
        <v>46103</v>
      </c>
      <c r="O300" s="6" t="str">
        <f aca="false">IF(F300="Serious",15,"N/A")</f>
        <v>N/A</v>
      </c>
      <c r="P300" s="6" t="n">
        <f aca="false">N300-B300</f>
        <v>49</v>
      </c>
      <c r="Q300" s="6" t="str">
        <f aca="false">IF(F300="Serious",IF(P300&lt;=O300,"Yes","No"),"N/A")</f>
        <v>N/A</v>
      </c>
      <c r="R300" s="6" t="str">
        <f aca="false">IF(AND(I300="Yes",L300=""),Dashboard!$B$2-K300,"")</f>
        <v/>
      </c>
    </row>
    <row r="301" customFormat="false" ht="15" hidden="false" customHeight="false" outlineLevel="0" collapsed="false">
      <c r="A301" s="6" t="s">
        <v>398</v>
      </c>
      <c r="B301" s="7" t="n">
        <v>45757</v>
      </c>
      <c r="C301" s="6" t="s">
        <v>37</v>
      </c>
      <c r="D301" s="6" t="s">
        <v>249</v>
      </c>
      <c r="E301" s="6" t="s">
        <v>295</v>
      </c>
      <c r="F301" s="6" t="s">
        <v>52</v>
      </c>
      <c r="G301" s="6" t="s">
        <v>41</v>
      </c>
      <c r="H301" s="6" t="s">
        <v>60</v>
      </c>
      <c r="I301" s="6" t="s">
        <v>61</v>
      </c>
      <c r="J301" s="6" t="s">
        <v>74</v>
      </c>
      <c r="K301" s="7" t="n">
        <v>45766</v>
      </c>
      <c r="L301" s="7" t="n">
        <v>45783</v>
      </c>
      <c r="M301" s="6" t="n">
        <f aca="false">IF(AND(K301&lt;&gt;"",L301&lt;&gt;""),L301-K301,"")</f>
        <v>17</v>
      </c>
      <c r="N301" s="7" t="n">
        <v>45817</v>
      </c>
      <c r="O301" s="6" t="str">
        <f aca="false">IF(F301="Serious",15,"N/A")</f>
        <v>N/A</v>
      </c>
      <c r="P301" s="6" t="n">
        <f aca="false">N301-B301</f>
        <v>60</v>
      </c>
      <c r="Q301" s="6" t="str">
        <f aca="false">IF(F301="Serious",IF(P301&lt;=O301,"Yes","No"),"N/A")</f>
        <v>N/A</v>
      </c>
      <c r="R301" s="6" t="str">
        <f aca="false">IF(AND(I301="Yes",L301=""),Dashboard!$B$2-K301,"")</f>
        <v/>
      </c>
    </row>
    <row r="302" customFormat="false" ht="15" hidden="false" customHeight="false" outlineLevel="0" collapsed="false">
      <c r="A302" s="6" t="s">
        <v>399</v>
      </c>
      <c r="B302" s="7" t="n">
        <v>46144</v>
      </c>
      <c r="C302" s="6" t="s">
        <v>64</v>
      </c>
      <c r="D302" s="6" t="s">
        <v>57</v>
      </c>
      <c r="E302" s="6" t="s">
        <v>58</v>
      </c>
      <c r="F302" s="6" t="s">
        <v>52</v>
      </c>
      <c r="G302" s="6" t="s">
        <v>59</v>
      </c>
      <c r="H302" s="6" t="s">
        <v>54</v>
      </c>
      <c r="I302" s="6" t="s">
        <v>61</v>
      </c>
      <c r="J302" s="6" t="s">
        <v>76</v>
      </c>
      <c r="K302" s="7" t="n">
        <v>46153</v>
      </c>
      <c r="L302" s="6"/>
      <c r="M302" s="6" t="str">
        <f aca="false">IF(AND(K302&lt;&gt;"",L302&lt;&gt;""),L302-K302,"")</f>
        <v/>
      </c>
      <c r="N302" s="7" t="n">
        <v>46192</v>
      </c>
      <c r="O302" s="6" t="str">
        <f aca="false">IF(F302="Serious",15,"N/A")</f>
        <v>N/A</v>
      </c>
      <c r="P302" s="6" t="n">
        <f aca="false">N302-B302</f>
        <v>48</v>
      </c>
      <c r="Q302" s="6" t="str">
        <f aca="false">IF(F302="Serious",IF(P302&lt;=O302,"Yes","No"),"N/A")</f>
        <v>N/A</v>
      </c>
      <c r="R302" s="6" t="n">
        <f aca="false">IF(AND(I302="Yes",L302=""),Dashboard!$B$2-K302,"")</f>
        <v>61</v>
      </c>
    </row>
    <row r="303" customFormat="false" ht="15" hidden="false" customHeight="false" outlineLevel="0" collapsed="false">
      <c r="A303" s="6" t="s">
        <v>400</v>
      </c>
      <c r="B303" s="7" t="n">
        <v>45808</v>
      </c>
      <c r="C303" s="6" t="s">
        <v>37</v>
      </c>
      <c r="D303" s="6" t="s">
        <v>69</v>
      </c>
      <c r="E303" s="6" t="s">
        <v>118</v>
      </c>
      <c r="F303" s="6" t="s">
        <v>52</v>
      </c>
      <c r="G303" s="6" t="s">
        <v>53</v>
      </c>
      <c r="H303" s="6" t="s">
        <v>60</v>
      </c>
      <c r="I303" s="6" t="s">
        <v>61</v>
      </c>
      <c r="J303" s="6" t="s">
        <v>89</v>
      </c>
      <c r="K303" s="7" t="n">
        <v>45815</v>
      </c>
      <c r="L303" s="7" t="n">
        <v>45837</v>
      </c>
      <c r="M303" s="6" t="n">
        <f aca="false">IF(AND(K303&lt;&gt;"",L303&lt;&gt;""),L303-K303,"")</f>
        <v>22</v>
      </c>
      <c r="N303" s="7" t="n">
        <v>45825</v>
      </c>
      <c r="O303" s="6" t="str">
        <f aca="false">IF(F303="Serious",15,"N/A")</f>
        <v>N/A</v>
      </c>
      <c r="P303" s="6" t="n">
        <f aca="false">N303-B303</f>
        <v>17</v>
      </c>
      <c r="Q303" s="6" t="str">
        <f aca="false">IF(F303="Serious",IF(P303&lt;=O303,"Yes","No"),"N/A")</f>
        <v>N/A</v>
      </c>
      <c r="R303" s="6" t="str">
        <f aca="false">IF(AND(I303="Yes",L303=""),Dashboard!$B$2-K303,"")</f>
        <v/>
      </c>
    </row>
    <row r="304" customFormat="false" ht="15" hidden="false" customHeight="false" outlineLevel="0" collapsed="false">
      <c r="A304" s="6" t="s">
        <v>401</v>
      </c>
      <c r="B304" s="7" t="n">
        <v>45809</v>
      </c>
      <c r="C304" s="6" t="s">
        <v>64</v>
      </c>
      <c r="D304" s="6" t="s">
        <v>38</v>
      </c>
      <c r="E304" s="6" t="s">
        <v>65</v>
      </c>
      <c r="F304" s="6" t="s">
        <v>52</v>
      </c>
      <c r="G304" s="6" t="s">
        <v>71</v>
      </c>
      <c r="H304" s="6" t="s">
        <v>60</v>
      </c>
      <c r="I304" s="6" t="s">
        <v>61</v>
      </c>
      <c r="J304" s="6" t="s">
        <v>74</v>
      </c>
      <c r="K304" s="7" t="n">
        <v>45818</v>
      </c>
      <c r="L304" s="7" t="n">
        <v>45828</v>
      </c>
      <c r="M304" s="6" t="n">
        <f aca="false">IF(AND(K304&lt;&gt;"",L304&lt;&gt;""),L304-K304,"")</f>
        <v>10</v>
      </c>
      <c r="N304" s="7" t="n">
        <v>45843</v>
      </c>
      <c r="O304" s="6" t="str">
        <f aca="false">IF(F304="Serious",15,"N/A")</f>
        <v>N/A</v>
      </c>
      <c r="P304" s="6" t="n">
        <f aca="false">N304-B304</f>
        <v>34</v>
      </c>
      <c r="Q304" s="6" t="str">
        <f aca="false">IF(F304="Serious",IF(P304&lt;=O304,"Yes","No"),"N/A")</f>
        <v>N/A</v>
      </c>
      <c r="R304" s="6" t="str">
        <f aca="false">IF(AND(I304="Yes",L304=""),Dashboard!$B$2-K304,"")</f>
        <v/>
      </c>
    </row>
    <row r="305" customFormat="false" ht="15" hidden="false" customHeight="false" outlineLevel="0" collapsed="false">
      <c r="A305" s="6" t="s">
        <v>402</v>
      </c>
      <c r="B305" s="7" t="n">
        <v>45670</v>
      </c>
      <c r="C305" s="6" t="s">
        <v>64</v>
      </c>
      <c r="D305" s="6" t="s">
        <v>50</v>
      </c>
      <c r="E305" s="6" t="s">
        <v>51</v>
      </c>
      <c r="F305" s="6" t="s">
        <v>40</v>
      </c>
      <c r="G305" s="6" t="s">
        <v>53</v>
      </c>
      <c r="H305" s="6" t="s">
        <v>42</v>
      </c>
      <c r="I305" s="6" t="s">
        <v>61</v>
      </c>
      <c r="J305" s="6" t="s">
        <v>89</v>
      </c>
      <c r="K305" s="7" t="n">
        <v>45672</v>
      </c>
      <c r="L305" s="7" t="n">
        <v>45678</v>
      </c>
      <c r="M305" s="6" t="n">
        <f aca="false">IF(AND(K305&lt;&gt;"",L305&lt;&gt;""),L305-K305,"")</f>
        <v>6</v>
      </c>
      <c r="N305" s="7" t="n">
        <v>45680</v>
      </c>
      <c r="O305" s="6" t="n">
        <f aca="false">IF(F305="Serious",15,"N/A")</f>
        <v>15</v>
      </c>
      <c r="P305" s="6" t="n">
        <f aca="false">N305-B305</f>
        <v>10</v>
      </c>
      <c r="Q305" s="6" t="str">
        <f aca="false">IF(F305="Serious",IF(P305&lt;=O305,"Yes","No"),"N/A")</f>
        <v>Yes</v>
      </c>
      <c r="R305" s="6" t="str">
        <f aca="false">IF(AND(I305="Yes",L305=""),Dashboard!$B$2-K305,"")</f>
        <v/>
      </c>
    </row>
    <row r="306" customFormat="false" ht="15" hidden="false" customHeight="false" outlineLevel="0" collapsed="false">
      <c r="A306" s="6" t="s">
        <v>403</v>
      </c>
      <c r="B306" s="7" t="n">
        <v>46010</v>
      </c>
      <c r="C306" s="6" t="s">
        <v>49</v>
      </c>
      <c r="D306" s="6" t="s">
        <v>38</v>
      </c>
      <c r="E306" s="6" t="s">
        <v>65</v>
      </c>
      <c r="F306" s="6" t="s">
        <v>52</v>
      </c>
      <c r="G306" s="6" t="s">
        <v>47</v>
      </c>
      <c r="H306" s="6" t="s">
        <v>42</v>
      </c>
      <c r="I306" s="6" t="s">
        <v>61</v>
      </c>
      <c r="J306" s="6" t="s">
        <v>74</v>
      </c>
      <c r="K306" s="7" t="n">
        <v>46013</v>
      </c>
      <c r="L306" s="7" t="n">
        <v>46035</v>
      </c>
      <c r="M306" s="6" t="n">
        <f aca="false">IF(AND(K306&lt;&gt;"",L306&lt;&gt;""),L306-K306,"")</f>
        <v>22</v>
      </c>
      <c r="N306" s="7" t="n">
        <v>46040</v>
      </c>
      <c r="O306" s="6" t="str">
        <f aca="false">IF(F306="Serious",15,"N/A")</f>
        <v>N/A</v>
      </c>
      <c r="P306" s="6" t="n">
        <f aca="false">N306-B306</f>
        <v>30</v>
      </c>
      <c r="Q306" s="6" t="str">
        <f aca="false">IF(F306="Serious",IF(P306&lt;=O306,"Yes","No"),"N/A")</f>
        <v>N/A</v>
      </c>
      <c r="R306" s="6" t="str">
        <f aca="false">IF(AND(I306="Yes",L306=""),Dashboard!$B$2-K306,"")</f>
        <v/>
      </c>
    </row>
    <row r="307" customFormat="false" ht="15" hidden="false" customHeight="false" outlineLevel="0" collapsed="false">
      <c r="A307" s="6" t="s">
        <v>404</v>
      </c>
      <c r="B307" s="7" t="n">
        <v>45697</v>
      </c>
      <c r="C307" s="6" t="s">
        <v>49</v>
      </c>
      <c r="D307" s="6" t="s">
        <v>249</v>
      </c>
      <c r="E307" s="6" t="s">
        <v>295</v>
      </c>
      <c r="F307" s="6" t="s">
        <v>40</v>
      </c>
      <c r="G307" s="6" t="s">
        <v>41</v>
      </c>
      <c r="H307" s="6" t="s">
        <v>54</v>
      </c>
      <c r="I307" s="6" t="s">
        <v>43</v>
      </c>
      <c r="J307" s="6"/>
      <c r="K307" s="6"/>
      <c r="L307" s="6"/>
      <c r="M307" s="6" t="str">
        <f aca="false">IF(AND(K307&lt;&gt;"",L307&lt;&gt;""),L307-K307,"")</f>
        <v/>
      </c>
      <c r="N307" s="7" t="n">
        <v>45711</v>
      </c>
      <c r="O307" s="6" t="n">
        <f aca="false">IF(F307="Serious",15,"N/A")</f>
        <v>15</v>
      </c>
      <c r="P307" s="6" t="n">
        <f aca="false">N307-B307</f>
        <v>14</v>
      </c>
      <c r="Q307" s="6" t="str">
        <f aca="false">IF(F307="Serious",IF(P307&lt;=O307,"Yes","No"),"N/A")</f>
        <v>Yes</v>
      </c>
      <c r="R307" s="6" t="str">
        <f aca="false">IF(AND(I307="Yes",L307=""),Dashboard!$B$2-K307,"")</f>
        <v/>
      </c>
    </row>
    <row r="308" customFormat="false" ht="15" hidden="false" customHeight="false" outlineLevel="0" collapsed="false">
      <c r="A308" s="6" t="s">
        <v>405</v>
      </c>
      <c r="B308" s="7" t="n">
        <v>45968</v>
      </c>
      <c r="C308" s="6" t="s">
        <v>73</v>
      </c>
      <c r="D308" s="6" t="s">
        <v>38</v>
      </c>
      <c r="E308" s="6" t="s">
        <v>65</v>
      </c>
      <c r="F308" s="6" t="s">
        <v>52</v>
      </c>
      <c r="G308" s="6" t="s">
        <v>66</v>
      </c>
      <c r="H308" s="6" t="s">
        <v>129</v>
      </c>
      <c r="I308" s="6" t="s">
        <v>61</v>
      </c>
      <c r="J308" s="6" t="s">
        <v>62</v>
      </c>
      <c r="K308" s="7" t="n">
        <v>45976</v>
      </c>
      <c r="L308" s="6"/>
      <c r="M308" s="6" t="str">
        <f aca="false">IF(AND(K308&lt;&gt;"",L308&lt;&gt;""),L308-K308,"")</f>
        <v/>
      </c>
      <c r="N308" s="7" t="n">
        <v>45993</v>
      </c>
      <c r="O308" s="6" t="str">
        <f aca="false">IF(F308="Serious",15,"N/A")</f>
        <v>N/A</v>
      </c>
      <c r="P308" s="6" t="n">
        <f aca="false">N308-B308</f>
        <v>25</v>
      </c>
      <c r="Q308" s="6" t="str">
        <f aca="false">IF(F308="Serious",IF(P308&lt;=O308,"Yes","No"),"N/A")</f>
        <v>N/A</v>
      </c>
      <c r="R308" s="6" t="n">
        <f aca="false">IF(AND(I308="Yes",L308=""),Dashboard!$B$2-K308,"")</f>
        <v>238</v>
      </c>
    </row>
    <row r="309" customFormat="false" ht="15" hidden="false" customHeight="false" outlineLevel="0" collapsed="false">
      <c r="A309" s="6" t="s">
        <v>406</v>
      </c>
      <c r="B309" s="7" t="n">
        <v>45933</v>
      </c>
      <c r="C309" s="6" t="s">
        <v>49</v>
      </c>
      <c r="D309" s="6" t="s">
        <v>50</v>
      </c>
      <c r="E309" s="6" t="s">
        <v>138</v>
      </c>
      <c r="F309" s="6" t="s">
        <v>40</v>
      </c>
      <c r="G309" s="6" t="s">
        <v>53</v>
      </c>
      <c r="H309" s="6" t="s">
        <v>54</v>
      </c>
      <c r="I309" s="6" t="s">
        <v>43</v>
      </c>
      <c r="J309" s="6"/>
      <c r="K309" s="6"/>
      <c r="L309" s="6"/>
      <c r="M309" s="6" t="str">
        <f aca="false">IF(AND(K309&lt;&gt;"",L309&lt;&gt;""),L309-K309,"")</f>
        <v/>
      </c>
      <c r="N309" s="7" t="n">
        <v>45940</v>
      </c>
      <c r="O309" s="6" t="n">
        <f aca="false">IF(F309="Serious",15,"N/A")</f>
        <v>15</v>
      </c>
      <c r="P309" s="6" t="n">
        <f aca="false">N309-B309</f>
        <v>7</v>
      </c>
      <c r="Q309" s="6" t="str">
        <f aca="false">IF(F309="Serious",IF(P309&lt;=O309,"Yes","No"),"N/A")</f>
        <v>Yes</v>
      </c>
      <c r="R309" s="6" t="str">
        <f aca="false">IF(AND(I309="Yes",L309=""),Dashboard!$B$2-K309,"")</f>
        <v/>
      </c>
    </row>
    <row r="310" customFormat="false" ht="15" hidden="false" customHeight="false" outlineLevel="0" collapsed="false">
      <c r="A310" s="6" t="s">
        <v>407</v>
      </c>
      <c r="B310" s="7" t="n">
        <v>45715</v>
      </c>
      <c r="C310" s="6" t="s">
        <v>64</v>
      </c>
      <c r="D310" s="6" t="s">
        <v>82</v>
      </c>
      <c r="E310" s="6" t="s">
        <v>116</v>
      </c>
      <c r="F310" s="6" t="s">
        <v>52</v>
      </c>
      <c r="G310" s="6" t="s">
        <v>47</v>
      </c>
      <c r="H310" s="6" t="s">
        <v>60</v>
      </c>
      <c r="I310" s="6" t="s">
        <v>43</v>
      </c>
      <c r="J310" s="6"/>
      <c r="K310" s="6"/>
      <c r="L310" s="6"/>
      <c r="M310" s="6" t="str">
        <f aca="false">IF(AND(K310&lt;&gt;"",L310&lt;&gt;""),L310-K310,"")</f>
        <v/>
      </c>
      <c r="N310" s="7" t="n">
        <v>45756</v>
      </c>
      <c r="O310" s="6" t="str">
        <f aca="false">IF(F310="Serious",15,"N/A")</f>
        <v>N/A</v>
      </c>
      <c r="P310" s="6" t="n">
        <f aca="false">N310-B310</f>
        <v>41</v>
      </c>
      <c r="Q310" s="6" t="str">
        <f aca="false">IF(F310="Serious",IF(P310&lt;=O310,"Yes","No"),"N/A")</f>
        <v>N/A</v>
      </c>
      <c r="R310" s="6" t="str">
        <f aca="false">IF(AND(I310="Yes",L310=""),Dashboard!$B$2-K310,"")</f>
        <v/>
      </c>
    </row>
    <row r="311" customFormat="false" ht="15" hidden="false" customHeight="false" outlineLevel="0" collapsed="false">
      <c r="A311" s="6" t="s">
        <v>408</v>
      </c>
      <c r="B311" s="7" t="n">
        <v>45687</v>
      </c>
      <c r="C311" s="6" t="s">
        <v>56</v>
      </c>
      <c r="D311" s="6" t="s">
        <v>57</v>
      </c>
      <c r="E311" s="6" t="s">
        <v>94</v>
      </c>
      <c r="F311" s="6" t="s">
        <v>52</v>
      </c>
      <c r="G311" s="6" t="s">
        <v>53</v>
      </c>
      <c r="H311" s="6" t="s">
        <v>42</v>
      </c>
      <c r="I311" s="6" t="s">
        <v>43</v>
      </c>
      <c r="J311" s="6"/>
      <c r="K311" s="6"/>
      <c r="L311" s="6"/>
      <c r="M311" s="6" t="str">
        <f aca="false">IF(AND(K311&lt;&gt;"",L311&lt;&gt;""),L311-K311,"")</f>
        <v/>
      </c>
      <c r="N311" s="7" t="n">
        <v>45737</v>
      </c>
      <c r="O311" s="6" t="str">
        <f aca="false">IF(F311="Serious",15,"N/A")</f>
        <v>N/A</v>
      </c>
      <c r="P311" s="6" t="n">
        <f aca="false">N311-B311</f>
        <v>50</v>
      </c>
      <c r="Q311" s="6" t="str">
        <f aca="false">IF(F311="Serious",IF(P311&lt;=O311,"Yes","No"),"N/A")</f>
        <v>N/A</v>
      </c>
      <c r="R311" s="6" t="str">
        <f aca="false">IF(AND(I311="Yes",L311=""),Dashboard!$B$2-K311,"")</f>
        <v/>
      </c>
    </row>
    <row r="312" customFormat="false" ht="15" hidden="false" customHeight="false" outlineLevel="0" collapsed="false">
      <c r="A312" s="6" t="s">
        <v>409</v>
      </c>
      <c r="B312" s="7" t="n">
        <v>45861</v>
      </c>
      <c r="C312" s="6" t="s">
        <v>73</v>
      </c>
      <c r="D312" s="6" t="s">
        <v>249</v>
      </c>
      <c r="E312" s="6" t="s">
        <v>278</v>
      </c>
      <c r="F312" s="6" t="s">
        <v>52</v>
      </c>
      <c r="G312" s="6" t="s">
        <v>66</v>
      </c>
      <c r="H312" s="6" t="s">
        <v>60</v>
      </c>
      <c r="I312" s="6" t="s">
        <v>61</v>
      </c>
      <c r="J312" s="6" t="s">
        <v>62</v>
      </c>
      <c r="K312" s="7" t="n">
        <v>45869</v>
      </c>
      <c r="L312" s="7" t="n">
        <v>45877</v>
      </c>
      <c r="M312" s="6" t="n">
        <f aca="false">IF(AND(K312&lt;&gt;"",L312&lt;&gt;""),L312-K312,"")</f>
        <v>8</v>
      </c>
      <c r="N312" s="7" t="n">
        <v>45921</v>
      </c>
      <c r="O312" s="6" t="str">
        <f aca="false">IF(F312="Serious",15,"N/A")</f>
        <v>N/A</v>
      </c>
      <c r="P312" s="6" t="n">
        <f aca="false">N312-B312</f>
        <v>60</v>
      </c>
      <c r="Q312" s="6" t="str">
        <f aca="false">IF(F312="Serious",IF(P312&lt;=O312,"Yes","No"),"N/A")</f>
        <v>N/A</v>
      </c>
      <c r="R312" s="6" t="str">
        <f aca="false">IF(AND(I312="Yes",L312=""),Dashboard!$B$2-K312,"")</f>
        <v/>
      </c>
    </row>
    <row r="313" customFormat="false" ht="15" hidden="false" customHeight="false" outlineLevel="0" collapsed="false">
      <c r="A313" s="6" t="s">
        <v>410</v>
      </c>
      <c r="B313" s="7" t="n">
        <v>46143</v>
      </c>
      <c r="C313" s="6" t="s">
        <v>64</v>
      </c>
      <c r="D313" s="6" t="s">
        <v>85</v>
      </c>
      <c r="E313" s="6" t="s">
        <v>109</v>
      </c>
      <c r="F313" s="6" t="s">
        <v>52</v>
      </c>
      <c r="G313" s="6" t="s">
        <v>88</v>
      </c>
      <c r="H313" s="6" t="s">
        <v>60</v>
      </c>
      <c r="I313" s="6" t="s">
        <v>43</v>
      </c>
      <c r="J313" s="6"/>
      <c r="K313" s="6"/>
      <c r="L313" s="6"/>
      <c r="M313" s="6" t="str">
        <f aca="false">IF(AND(K313&lt;&gt;"",L313&lt;&gt;""),L313-K313,"")</f>
        <v/>
      </c>
      <c r="N313" s="7" t="n">
        <v>46153</v>
      </c>
      <c r="O313" s="6" t="str">
        <f aca="false">IF(F313="Serious",15,"N/A")</f>
        <v>N/A</v>
      </c>
      <c r="P313" s="6" t="n">
        <f aca="false">N313-B313</f>
        <v>10</v>
      </c>
      <c r="Q313" s="6" t="str">
        <f aca="false">IF(F313="Serious",IF(P313&lt;=O313,"Yes","No"),"N/A")</f>
        <v>N/A</v>
      </c>
      <c r="R313" s="6" t="str">
        <f aca="false">IF(AND(I313="Yes",L313=""),Dashboard!$B$2-K313,"")</f>
        <v/>
      </c>
    </row>
    <row r="314" customFormat="false" ht="15" hidden="false" customHeight="false" outlineLevel="0" collapsed="false">
      <c r="A314" s="6" t="s">
        <v>411</v>
      </c>
      <c r="B314" s="7" t="n">
        <v>45949</v>
      </c>
      <c r="C314" s="6" t="s">
        <v>37</v>
      </c>
      <c r="D314" s="6" t="s">
        <v>101</v>
      </c>
      <c r="E314" s="6" t="s">
        <v>124</v>
      </c>
      <c r="F314" s="6" t="s">
        <v>40</v>
      </c>
      <c r="G314" s="6" t="s">
        <v>47</v>
      </c>
      <c r="H314" s="6" t="s">
        <v>129</v>
      </c>
      <c r="I314" s="6" t="s">
        <v>43</v>
      </c>
      <c r="J314" s="6"/>
      <c r="K314" s="6"/>
      <c r="L314" s="6"/>
      <c r="M314" s="6" t="str">
        <f aca="false">IF(AND(K314&lt;&gt;"",L314&lt;&gt;""),L314-K314,"")</f>
        <v/>
      </c>
      <c r="N314" s="7" t="n">
        <v>45961</v>
      </c>
      <c r="O314" s="6" t="n">
        <f aca="false">IF(F314="Serious",15,"N/A")</f>
        <v>15</v>
      </c>
      <c r="P314" s="6" t="n">
        <f aca="false">N314-B314</f>
        <v>12</v>
      </c>
      <c r="Q314" s="6" t="str">
        <f aca="false">IF(F314="Serious",IF(P314&lt;=O314,"Yes","No"),"N/A")</f>
        <v>Yes</v>
      </c>
      <c r="R314" s="6" t="str">
        <f aca="false">IF(AND(I314="Yes",L314=""),Dashboard!$B$2-K314,"")</f>
        <v/>
      </c>
    </row>
    <row r="315" customFormat="false" ht="15" hidden="false" customHeight="false" outlineLevel="0" collapsed="false">
      <c r="A315" s="6" t="s">
        <v>412</v>
      </c>
      <c r="B315" s="7" t="n">
        <v>45869</v>
      </c>
      <c r="C315" s="6" t="s">
        <v>73</v>
      </c>
      <c r="D315" s="6" t="s">
        <v>101</v>
      </c>
      <c r="E315" s="6" t="s">
        <v>132</v>
      </c>
      <c r="F315" s="6" t="s">
        <v>40</v>
      </c>
      <c r="G315" s="6" t="s">
        <v>41</v>
      </c>
      <c r="H315" s="6" t="s">
        <v>42</v>
      </c>
      <c r="I315" s="6" t="s">
        <v>61</v>
      </c>
      <c r="J315" s="6" t="s">
        <v>98</v>
      </c>
      <c r="K315" s="7" t="n">
        <v>45872</v>
      </c>
      <c r="L315" s="7" t="n">
        <v>45874</v>
      </c>
      <c r="M315" s="6" t="n">
        <f aca="false">IF(AND(K315&lt;&gt;"",L315&lt;&gt;""),L315-K315,"")</f>
        <v>2</v>
      </c>
      <c r="N315" s="7" t="n">
        <v>45883</v>
      </c>
      <c r="O315" s="6" t="n">
        <f aca="false">IF(F315="Serious",15,"N/A")</f>
        <v>15</v>
      </c>
      <c r="P315" s="6" t="n">
        <f aca="false">N315-B315</f>
        <v>14</v>
      </c>
      <c r="Q315" s="6" t="str">
        <f aca="false">IF(F315="Serious",IF(P315&lt;=O315,"Yes","No"),"N/A")</f>
        <v>Yes</v>
      </c>
      <c r="R315" s="6" t="str">
        <f aca="false">IF(AND(I315="Yes",L315=""),Dashboard!$B$2-K315,"")</f>
        <v/>
      </c>
    </row>
    <row r="316" customFormat="false" ht="15" hidden="false" customHeight="false" outlineLevel="0" collapsed="false">
      <c r="A316" s="6" t="s">
        <v>413</v>
      </c>
      <c r="B316" s="7" t="n">
        <v>45970</v>
      </c>
      <c r="C316" s="6" t="s">
        <v>73</v>
      </c>
      <c r="D316" s="6" t="s">
        <v>101</v>
      </c>
      <c r="E316" s="6" t="s">
        <v>102</v>
      </c>
      <c r="F316" s="6" t="s">
        <v>52</v>
      </c>
      <c r="G316" s="6" t="s">
        <v>59</v>
      </c>
      <c r="H316" s="6" t="s">
        <v>60</v>
      </c>
      <c r="I316" s="6" t="s">
        <v>61</v>
      </c>
      <c r="J316" s="6" t="s">
        <v>76</v>
      </c>
      <c r="K316" s="7" t="n">
        <v>45980</v>
      </c>
      <c r="L316" s="7" t="n">
        <v>45986</v>
      </c>
      <c r="M316" s="6" t="n">
        <f aca="false">IF(AND(K316&lt;&gt;"",L316&lt;&gt;""),L316-K316,"")</f>
        <v>6</v>
      </c>
      <c r="N316" s="7" t="n">
        <v>46007</v>
      </c>
      <c r="O316" s="6" t="str">
        <f aca="false">IF(F316="Serious",15,"N/A")</f>
        <v>N/A</v>
      </c>
      <c r="P316" s="6" t="n">
        <f aca="false">N316-B316</f>
        <v>37</v>
      </c>
      <c r="Q316" s="6" t="str">
        <f aca="false">IF(F316="Serious",IF(P316&lt;=O316,"Yes","No"),"N/A")</f>
        <v>N/A</v>
      </c>
      <c r="R316" s="6" t="str">
        <f aca="false">IF(AND(I316="Yes",L316=""),Dashboard!$B$2-K316,"")</f>
        <v/>
      </c>
    </row>
    <row r="317" customFormat="false" ht="15" hidden="false" customHeight="false" outlineLevel="0" collapsed="false">
      <c r="A317" s="6" t="s">
        <v>414</v>
      </c>
      <c r="B317" s="7" t="n">
        <v>46041</v>
      </c>
      <c r="C317" s="6" t="s">
        <v>64</v>
      </c>
      <c r="D317" s="6" t="s">
        <v>50</v>
      </c>
      <c r="E317" s="6" t="s">
        <v>51</v>
      </c>
      <c r="F317" s="6" t="s">
        <v>52</v>
      </c>
      <c r="G317" s="6" t="s">
        <v>53</v>
      </c>
      <c r="H317" s="6" t="s">
        <v>60</v>
      </c>
      <c r="I317" s="6" t="s">
        <v>43</v>
      </c>
      <c r="J317" s="6"/>
      <c r="K317" s="6"/>
      <c r="L317" s="6"/>
      <c r="M317" s="6" t="str">
        <f aca="false">IF(AND(K317&lt;&gt;"",L317&lt;&gt;""),L317-K317,"")</f>
        <v/>
      </c>
      <c r="N317" s="7" t="n">
        <v>46086</v>
      </c>
      <c r="O317" s="6" t="str">
        <f aca="false">IF(F317="Serious",15,"N/A")</f>
        <v>N/A</v>
      </c>
      <c r="P317" s="6" t="n">
        <f aca="false">N317-B317</f>
        <v>45</v>
      </c>
      <c r="Q317" s="6" t="str">
        <f aca="false">IF(F317="Serious",IF(P317&lt;=O317,"Yes","No"),"N/A")</f>
        <v>N/A</v>
      </c>
      <c r="R317" s="6" t="str">
        <f aca="false">IF(AND(I317="Yes",L317=""),Dashboard!$B$2-K317,"")</f>
        <v/>
      </c>
    </row>
    <row r="318" customFormat="false" ht="15" hidden="false" customHeight="false" outlineLevel="0" collapsed="false">
      <c r="A318" s="6" t="s">
        <v>415</v>
      </c>
      <c r="B318" s="7" t="n">
        <v>45990</v>
      </c>
      <c r="C318" s="6" t="s">
        <v>73</v>
      </c>
      <c r="D318" s="6" t="s">
        <v>38</v>
      </c>
      <c r="E318" s="6" t="s">
        <v>65</v>
      </c>
      <c r="F318" s="6" t="s">
        <v>40</v>
      </c>
      <c r="G318" s="6" t="s">
        <v>47</v>
      </c>
      <c r="H318" s="6" t="s">
        <v>60</v>
      </c>
      <c r="I318" s="6" t="s">
        <v>61</v>
      </c>
      <c r="J318" s="6" t="s">
        <v>76</v>
      </c>
      <c r="K318" s="7" t="n">
        <v>45997</v>
      </c>
      <c r="L318" s="7" t="n">
        <v>46019</v>
      </c>
      <c r="M318" s="6" t="n">
        <f aca="false">IF(AND(K318&lt;&gt;"",L318&lt;&gt;""),L318-K318,"")</f>
        <v>22</v>
      </c>
      <c r="N318" s="7" t="n">
        <v>46002</v>
      </c>
      <c r="O318" s="6" t="n">
        <f aca="false">IF(F318="Serious",15,"N/A")</f>
        <v>15</v>
      </c>
      <c r="P318" s="6" t="n">
        <f aca="false">N318-B318</f>
        <v>12</v>
      </c>
      <c r="Q318" s="6" t="str">
        <f aca="false">IF(F318="Serious",IF(P318&lt;=O318,"Yes","No"),"N/A")</f>
        <v>Yes</v>
      </c>
      <c r="R318" s="6" t="str">
        <f aca="false">IF(AND(I318="Yes",L318=""),Dashboard!$B$2-K318,"")</f>
        <v/>
      </c>
    </row>
    <row r="319" customFormat="false" ht="15" hidden="false" customHeight="false" outlineLevel="0" collapsed="false">
      <c r="A319" s="6" t="s">
        <v>416</v>
      </c>
      <c r="B319" s="7" t="n">
        <v>46167</v>
      </c>
      <c r="C319" s="6" t="s">
        <v>73</v>
      </c>
      <c r="D319" s="6" t="s">
        <v>38</v>
      </c>
      <c r="E319" s="6" t="s">
        <v>65</v>
      </c>
      <c r="F319" s="6" t="s">
        <v>52</v>
      </c>
      <c r="G319" s="6" t="s">
        <v>41</v>
      </c>
      <c r="H319" s="6" t="s">
        <v>42</v>
      </c>
      <c r="I319" s="6" t="s">
        <v>43</v>
      </c>
      <c r="J319" s="6"/>
      <c r="K319" s="6"/>
      <c r="L319" s="6"/>
      <c r="M319" s="6" t="str">
        <f aca="false">IF(AND(K319&lt;&gt;"",L319&lt;&gt;""),L319-K319,"")</f>
        <v/>
      </c>
      <c r="N319" s="7" t="n">
        <v>46224</v>
      </c>
      <c r="O319" s="6" t="str">
        <f aca="false">IF(F319="Serious",15,"N/A")</f>
        <v>N/A</v>
      </c>
      <c r="P319" s="6" t="n">
        <f aca="false">N319-B319</f>
        <v>57</v>
      </c>
      <c r="Q319" s="6" t="str">
        <f aca="false">IF(F319="Serious",IF(P319&lt;=O319,"Yes","No"),"N/A")</f>
        <v>N/A</v>
      </c>
      <c r="R319" s="6" t="str">
        <f aca="false">IF(AND(I319="Yes",L319=""),Dashboard!$B$2-K319,"")</f>
        <v/>
      </c>
    </row>
    <row r="320" customFormat="false" ht="15" hidden="false" customHeight="false" outlineLevel="0" collapsed="false">
      <c r="A320" s="6" t="s">
        <v>417</v>
      </c>
      <c r="B320" s="7" t="n">
        <v>45852</v>
      </c>
      <c r="C320" s="6" t="s">
        <v>73</v>
      </c>
      <c r="D320" s="6" t="s">
        <v>57</v>
      </c>
      <c r="E320" s="6" t="s">
        <v>58</v>
      </c>
      <c r="F320" s="6" t="s">
        <v>52</v>
      </c>
      <c r="G320" s="6" t="s">
        <v>66</v>
      </c>
      <c r="H320" s="6" t="s">
        <v>42</v>
      </c>
      <c r="I320" s="6" t="s">
        <v>43</v>
      </c>
      <c r="J320" s="6"/>
      <c r="K320" s="6"/>
      <c r="L320" s="6"/>
      <c r="M320" s="6" t="str">
        <f aca="false">IF(AND(K320&lt;&gt;"",L320&lt;&gt;""),L320-K320,"")</f>
        <v/>
      </c>
      <c r="N320" s="7" t="n">
        <v>45910</v>
      </c>
      <c r="O320" s="6" t="str">
        <f aca="false">IF(F320="Serious",15,"N/A")</f>
        <v>N/A</v>
      </c>
      <c r="P320" s="6" t="n">
        <f aca="false">N320-B320</f>
        <v>58</v>
      </c>
      <c r="Q320" s="6" t="str">
        <f aca="false">IF(F320="Serious",IF(P320&lt;=O320,"Yes","No"),"N/A")</f>
        <v>N/A</v>
      </c>
      <c r="R320" s="6" t="str">
        <f aca="false">IF(AND(I320="Yes",L320=""),Dashboard!$B$2-K320,"")</f>
        <v/>
      </c>
    </row>
    <row r="321" customFormat="false" ht="15" hidden="false" customHeight="false" outlineLevel="0" collapsed="false">
      <c r="A321" s="6" t="s">
        <v>418</v>
      </c>
      <c r="B321" s="7" t="n">
        <v>45843</v>
      </c>
      <c r="C321" s="6" t="s">
        <v>73</v>
      </c>
      <c r="D321" s="6" t="s">
        <v>45</v>
      </c>
      <c r="E321" s="6" t="s">
        <v>167</v>
      </c>
      <c r="F321" s="6" t="s">
        <v>40</v>
      </c>
      <c r="G321" s="6" t="s">
        <v>53</v>
      </c>
      <c r="H321" s="6" t="s">
        <v>54</v>
      </c>
      <c r="I321" s="6" t="s">
        <v>43</v>
      </c>
      <c r="J321" s="6"/>
      <c r="K321" s="6"/>
      <c r="L321" s="6"/>
      <c r="M321" s="6" t="str">
        <f aca="false">IF(AND(K321&lt;&gt;"",L321&lt;&gt;""),L321-K321,"")</f>
        <v/>
      </c>
      <c r="N321" s="7" t="n">
        <v>45855</v>
      </c>
      <c r="O321" s="6" t="n">
        <f aca="false">IF(F321="Serious",15,"N/A")</f>
        <v>15</v>
      </c>
      <c r="P321" s="6" t="n">
        <f aca="false">N321-B321</f>
        <v>12</v>
      </c>
      <c r="Q321" s="6" t="str">
        <f aca="false">IF(F321="Serious",IF(P321&lt;=O321,"Yes","No"),"N/A")</f>
        <v>Yes</v>
      </c>
      <c r="R321" s="6" t="str">
        <f aca="false">IF(AND(I321="Yes",L321=""),Dashboard!$B$2-K321,"")</f>
        <v/>
      </c>
    </row>
    <row r="322" customFormat="false" ht="15" hidden="false" customHeight="false" outlineLevel="0" collapsed="false">
      <c r="A322" s="6" t="s">
        <v>419</v>
      </c>
      <c r="B322" s="7" t="n">
        <v>46001</v>
      </c>
      <c r="C322" s="6" t="s">
        <v>37</v>
      </c>
      <c r="D322" s="6" t="s">
        <v>57</v>
      </c>
      <c r="E322" s="6" t="s">
        <v>58</v>
      </c>
      <c r="F322" s="6" t="s">
        <v>40</v>
      </c>
      <c r="G322" s="6" t="s">
        <v>88</v>
      </c>
      <c r="H322" s="6" t="s">
        <v>60</v>
      </c>
      <c r="I322" s="6" t="s">
        <v>43</v>
      </c>
      <c r="J322" s="6"/>
      <c r="K322" s="6"/>
      <c r="L322" s="6"/>
      <c r="M322" s="6" t="str">
        <f aca="false">IF(AND(K322&lt;&gt;"",L322&lt;&gt;""),L322-K322,"")</f>
        <v/>
      </c>
      <c r="N322" s="7" t="n">
        <v>46012</v>
      </c>
      <c r="O322" s="6" t="n">
        <f aca="false">IF(F322="Serious",15,"N/A")</f>
        <v>15</v>
      </c>
      <c r="P322" s="6" t="n">
        <f aca="false">N322-B322</f>
        <v>11</v>
      </c>
      <c r="Q322" s="6" t="str">
        <f aca="false">IF(F322="Serious",IF(P322&lt;=O322,"Yes","No"),"N/A")</f>
        <v>Yes</v>
      </c>
      <c r="R322" s="6" t="str">
        <f aca="false">IF(AND(I322="Yes",L322=""),Dashboard!$B$2-K322,"")</f>
        <v/>
      </c>
    </row>
    <row r="323" customFormat="false" ht="15" hidden="false" customHeight="false" outlineLevel="0" collapsed="false">
      <c r="A323" s="6" t="s">
        <v>420</v>
      </c>
      <c r="B323" s="7" t="n">
        <v>45959</v>
      </c>
      <c r="C323" s="6" t="s">
        <v>49</v>
      </c>
      <c r="D323" s="6" t="s">
        <v>45</v>
      </c>
      <c r="E323" s="6" t="s">
        <v>167</v>
      </c>
      <c r="F323" s="6" t="s">
        <v>40</v>
      </c>
      <c r="G323" s="6" t="s">
        <v>66</v>
      </c>
      <c r="H323" s="6" t="s">
        <v>42</v>
      </c>
      <c r="I323" s="6" t="s">
        <v>43</v>
      </c>
      <c r="J323" s="6"/>
      <c r="K323" s="6"/>
      <c r="L323" s="6"/>
      <c r="M323" s="6" t="str">
        <f aca="false">IF(AND(K323&lt;&gt;"",L323&lt;&gt;""),L323-K323,"")</f>
        <v/>
      </c>
      <c r="N323" s="7" t="n">
        <v>45964</v>
      </c>
      <c r="O323" s="6" t="n">
        <f aca="false">IF(F323="Serious",15,"N/A")</f>
        <v>15</v>
      </c>
      <c r="P323" s="6" t="n">
        <f aca="false">N323-B323</f>
        <v>5</v>
      </c>
      <c r="Q323" s="6" t="str">
        <f aca="false">IF(F323="Serious",IF(P323&lt;=O323,"Yes","No"),"N/A")</f>
        <v>Yes</v>
      </c>
      <c r="R323" s="6" t="str">
        <f aca="false">IF(AND(I323="Yes",L323=""),Dashboard!$B$2-K323,"")</f>
        <v/>
      </c>
    </row>
    <row r="324" customFormat="false" ht="15" hidden="false" customHeight="false" outlineLevel="0" collapsed="false">
      <c r="A324" s="6" t="s">
        <v>421</v>
      </c>
      <c r="B324" s="7" t="n">
        <v>46170</v>
      </c>
      <c r="C324" s="6" t="s">
        <v>37</v>
      </c>
      <c r="D324" s="6" t="s">
        <v>101</v>
      </c>
      <c r="E324" s="6" t="s">
        <v>132</v>
      </c>
      <c r="F324" s="6" t="s">
        <v>52</v>
      </c>
      <c r="G324" s="6" t="s">
        <v>53</v>
      </c>
      <c r="H324" s="6" t="s">
        <v>54</v>
      </c>
      <c r="I324" s="6" t="s">
        <v>61</v>
      </c>
      <c r="J324" s="6" t="s">
        <v>98</v>
      </c>
      <c r="K324" s="7" t="n">
        <v>46176</v>
      </c>
      <c r="L324" s="7" t="n">
        <v>46194</v>
      </c>
      <c r="M324" s="6" t="n">
        <f aca="false">IF(AND(K324&lt;&gt;"",L324&lt;&gt;""),L324-K324,"")</f>
        <v>18</v>
      </c>
      <c r="N324" s="7" t="n">
        <v>46204</v>
      </c>
      <c r="O324" s="6" t="str">
        <f aca="false">IF(F324="Serious",15,"N/A")</f>
        <v>N/A</v>
      </c>
      <c r="P324" s="6" t="n">
        <f aca="false">N324-B324</f>
        <v>34</v>
      </c>
      <c r="Q324" s="6" t="str">
        <f aca="false">IF(F324="Serious",IF(P324&lt;=O324,"Yes","No"),"N/A")</f>
        <v>N/A</v>
      </c>
      <c r="R324" s="6" t="str">
        <f aca="false">IF(AND(I324="Yes",L324=""),Dashboard!$B$2-K324,"")</f>
        <v/>
      </c>
    </row>
    <row r="325" customFormat="false" ht="15" hidden="false" customHeight="false" outlineLevel="0" collapsed="false">
      <c r="A325" s="6" t="s">
        <v>422</v>
      </c>
      <c r="B325" s="7" t="n">
        <v>45804</v>
      </c>
      <c r="C325" s="6" t="s">
        <v>73</v>
      </c>
      <c r="D325" s="6" t="s">
        <v>82</v>
      </c>
      <c r="E325" s="6" t="s">
        <v>116</v>
      </c>
      <c r="F325" s="6" t="s">
        <v>52</v>
      </c>
      <c r="G325" s="6" t="s">
        <v>66</v>
      </c>
      <c r="H325" s="6" t="s">
        <v>60</v>
      </c>
      <c r="I325" s="6" t="s">
        <v>43</v>
      </c>
      <c r="J325" s="6"/>
      <c r="K325" s="6"/>
      <c r="L325" s="6"/>
      <c r="M325" s="6" t="str">
        <f aca="false">IF(AND(K325&lt;&gt;"",L325&lt;&gt;""),L325-K325,"")</f>
        <v/>
      </c>
      <c r="N325" s="7" t="n">
        <v>45809</v>
      </c>
      <c r="O325" s="6" t="str">
        <f aca="false">IF(F325="Serious",15,"N/A")</f>
        <v>N/A</v>
      </c>
      <c r="P325" s="6" t="n">
        <f aca="false">N325-B325</f>
        <v>5</v>
      </c>
      <c r="Q325" s="6" t="str">
        <f aca="false">IF(F325="Serious",IF(P325&lt;=O325,"Yes","No"),"N/A")</f>
        <v>N/A</v>
      </c>
      <c r="R325" s="6" t="str">
        <f aca="false">IF(AND(I325="Yes",L325=""),Dashboard!$B$2-K325,"")</f>
        <v/>
      </c>
    </row>
    <row r="326" customFormat="false" ht="15" hidden="false" customHeight="false" outlineLevel="0" collapsed="false">
      <c r="A326" s="6" t="s">
        <v>423</v>
      </c>
      <c r="B326" s="7" t="n">
        <v>46120</v>
      </c>
      <c r="C326" s="6" t="s">
        <v>73</v>
      </c>
      <c r="D326" s="6" t="s">
        <v>57</v>
      </c>
      <c r="E326" s="6" t="s">
        <v>94</v>
      </c>
      <c r="F326" s="6" t="s">
        <v>52</v>
      </c>
      <c r="G326" s="6" t="s">
        <v>53</v>
      </c>
      <c r="H326" s="6" t="s">
        <v>42</v>
      </c>
      <c r="I326" s="6" t="s">
        <v>43</v>
      </c>
      <c r="J326" s="6"/>
      <c r="K326" s="6"/>
      <c r="L326" s="6"/>
      <c r="M326" s="6" t="str">
        <f aca="false">IF(AND(K326&lt;&gt;"",L326&lt;&gt;""),L326-K326,"")</f>
        <v/>
      </c>
      <c r="N326" s="7" t="n">
        <v>46133</v>
      </c>
      <c r="O326" s="6" t="str">
        <f aca="false">IF(F326="Serious",15,"N/A")</f>
        <v>N/A</v>
      </c>
      <c r="P326" s="6" t="n">
        <f aca="false">N326-B326</f>
        <v>13</v>
      </c>
      <c r="Q326" s="6" t="str">
        <f aca="false">IF(F326="Serious",IF(P326&lt;=O326,"Yes","No"),"N/A")</f>
        <v>N/A</v>
      </c>
      <c r="R326" s="6" t="str">
        <f aca="false">IF(AND(I326="Yes",L326=""),Dashboard!$B$2-K326,"")</f>
        <v/>
      </c>
    </row>
    <row r="327" customFormat="false" ht="15" hidden="false" customHeight="false" outlineLevel="0" collapsed="false">
      <c r="A327" s="6" t="s">
        <v>424</v>
      </c>
      <c r="B327" s="7" t="n">
        <v>46102</v>
      </c>
      <c r="C327" s="6" t="s">
        <v>49</v>
      </c>
      <c r="D327" s="6" t="s">
        <v>101</v>
      </c>
      <c r="E327" s="6" t="s">
        <v>102</v>
      </c>
      <c r="F327" s="6" t="s">
        <v>52</v>
      </c>
      <c r="G327" s="6" t="s">
        <v>59</v>
      </c>
      <c r="H327" s="6" t="s">
        <v>60</v>
      </c>
      <c r="I327" s="6" t="s">
        <v>61</v>
      </c>
      <c r="J327" s="6" t="s">
        <v>62</v>
      </c>
      <c r="K327" s="7" t="n">
        <v>46103</v>
      </c>
      <c r="L327" s="6"/>
      <c r="M327" s="6" t="str">
        <f aca="false">IF(AND(K327&lt;&gt;"",L327&lt;&gt;""),L327-K327,"")</f>
        <v/>
      </c>
      <c r="N327" s="7" t="n">
        <v>46155</v>
      </c>
      <c r="O327" s="6" t="str">
        <f aca="false">IF(F327="Serious",15,"N/A")</f>
        <v>N/A</v>
      </c>
      <c r="P327" s="6" t="n">
        <f aca="false">N327-B327</f>
        <v>53</v>
      </c>
      <c r="Q327" s="6" t="str">
        <f aca="false">IF(F327="Serious",IF(P327&lt;=O327,"Yes","No"),"N/A")</f>
        <v>N/A</v>
      </c>
      <c r="R327" s="6" t="n">
        <f aca="false">IF(AND(I327="Yes",L327=""),Dashboard!$B$2-K327,"")</f>
        <v>111</v>
      </c>
    </row>
    <row r="328" customFormat="false" ht="15" hidden="false" customHeight="false" outlineLevel="0" collapsed="false">
      <c r="A328" s="6" t="s">
        <v>425</v>
      </c>
      <c r="B328" s="7" t="n">
        <v>46201</v>
      </c>
      <c r="C328" s="6" t="s">
        <v>56</v>
      </c>
      <c r="D328" s="6" t="s">
        <v>79</v>
      </c>
      <c r="E328" s="6" t="s">
        <v>80</v>
      </c>
      <c r="F328" s="6" t="s">
        <v>52</v>
      </c>
      <c r="G328" s="6" t="s">
        <v>53</v>
      </c>
      <c r="H328" s="6" t="s">
        <v>42</v>
      </c>
      <c r="I328" s="6" t="s">
        <v>61</v>
      </c>
      <c r="J328" s="6" t="s">
        <v>98</v>
      </c>
      <c r="K328" s="7" t="n">
        <v>46203</v>
      </c>
      <c r="L328" s="6"/>
      <c r="M328" s="6" t="str">
        <f aca="false">IF(AND(K328&lt;&gt;"",L328&lt;&gt;""),L328-K328,"")</f>
        <v/>
      </c>
      <c r="N328" s="7" t="n">
        <v>46216</v>
      </c>
      <c r="O328" s="6" t="str">
        <f aca="false">IF(F328="Serious",15,"N/A")</f>
        <v>N/A</v>
      </c>
      <c r="P328" s="6" t="n">
        <f aca="false">N328-B328</f>
        <v>15</v>
      </c>
      <c r="Q328" s="6" t="str">
        <f aca="false">IF(F328="Serious",IF(P328&lt;=O328,"Yes","No"),"N/A")</f>
        <v>N/A</v>
      </c>
      <c r="R328" s="6" t="n">
        <f aca="false">IF(AND(I328="Yes",L328=""),Dashboard!$B$2-K328,"")</f>
        <v>11</v>
      </c>
    </row>
    <row r="329" customFormat="false" ht="15" hidden="false" customHeight="false" outlineLevel="0" collapsed="false">
      <c r="A329" s="6" t="s">
        <v>426</v>
      </c>
      <c r="B329" s="7" t="n">
        <v>45724</v>
      </c>
      <c r="C329" s="6" t="s">
        <v>37</v>
      </c>
      <c r="D329" s="6" t="s">
        <v>38</v>
      </c>
      <c r="E329" s="6" t="s">
        <v>65</v>
      </c>
      <c r="F329" s="6" t="s">
        <v>52</v>
      </c>
      <c r="G329" s="6" t="s">
        <v>47</v>
      </c>
      <c r="H329" s="6" t="s">
        <v>42</v>
      </c>
      <c r="I329" s="6" t="s">
        <v>61</v>
      </c>
      <c r="J329" s="6" t="s">
        <v>126</v>
      </c>
      <c r="K329" s="7" t="n">
        <v>45727</v>
      </c>
      <c r="L329" s="7" t="n">
        <v>45759</v>
      </c>
      <c r="M329" s="6" t="n">
        <f aca="false">IF(AND(K329&lt;&gt;"",L329&lt;&gt;""),L329-K329,"")</f>
        <v>32</v>
      </c>
      <c r="N329" s="7" t="n">
        <v>45751</v>
      </c>
      <c r="O329" s="6" t="str">
        <f aca="false">IF(F329="Serious",15,"N/A")</f>
        <v>N/A</v>
      </c>
      <c r="P329" s="6" t="n">
        <f aca="false">N329-B329</f>
        <v>27</v>
      </c>
      <c r="Q329" s="6" t="str">
        <f aca="false">IF(F329="Serious",IF(P329&lt;=O329,"Yes","No"),"N/A")</f>
        <v>N/A</v>
      </c>
      <c r="R329" s="6" t="str">
        <f aca="false">IF(AND(I329="Yes",L329=""),Dashboard!$B$2-K329,"")</f>
        <v/>
      </c>
    </row>
    <row r="330" customFormat="false" ht="15" hidden="false" customHeight="false" outlineLevel="0" collapsed="false">
      <c r="A330" s="6" t="s">
        <v>427</v>
      </c>
      <c r="B330" s="7" t="n">
        <v>45850</v>
      </c>
      <c r="C330" s="6" t="s">
        <v>56</v>
      </c>
      <c r="D330" s="6" t="s">
        <v>101</v>
      </c>
      <c r="E330" s="6" t="s">
        <v>124</v>
      </c>
      <c r="F330" s="6" t="s">
        <v>40</v>
      </c>
      <c r="G330" s="6" t="s">
        <v>41</v>
      </c>
      <c r="H330" s="6" t="s">
        <v>60</v>
      </c>
      <c r="I330" s="6" t="s">
        <v>43</v>
      </c>
      <c r="J330" s="6"/>
      <c r="K330" s="6"/>
      <c r="L330" s="6"/>
      <c r="M330" s="6" t="str">
        <f aca="false">IF(AND(K330&lt;&gt;"",L330&lt;&gt;""),L330-K330,"")</f>
        <v/>
      </c>
      <c r="N330" s="7" t="n">
        <v>45854</v>
      </c>
      <c r="O330" s="6" t="n">
        <f aca="false">IF(F330="Serious",15,"N/A")</f>
        <v>15</v>
      </c>
      <c r="P330" s="6" t="n">
        <f aca="false">N330-B330</f>
        <v>4</v>
      </c>
      <c r="Q330" s="6" t="str">
        <f aca="false">IF(F330="Serious",IF(P330&lt;=O330,"Yes","No"),"N/A")</f>
        <v>Yes</v>
      </c>
      <c r="R330" s="6" t="str">
        <f aca="false">IF(AND(I330="Yes",L330=""),Dashboard!$B$2-K330,"")</f>
        <v/>
      </c>
    </row>
    <row r="331" customFormat="false" ht="15" hidden="false" customHeight="false" outlineLevel="0" collapsed="false">
      <c r="A331" s="6" t="s">
        <v>428</v>
      </c>
      <c r="B331" s="7" t="n">
        <v>45784</v>
      </c>
      <c r="C331" s="6" t="s">
        <v>73</v>
      </c>
      <c r="D331" s="6" t="s">
        <v>79</v>
      </c>
      <c r="E331" s="6" t="s">
        <v>223</v>
      </c>
      <c r="F331" s="6" t="s">
        <v>52</v>
      </c>
      <c r="G331" s="6" t="s">
        <v>53</v>
      </c>
      <c r="H331" s="6" t="s">
        <v>42</v>
      </c>
      <c r="I331" s="6" t="s">
        <v>61</v>
      </c>
      <c r="J331" s="6" t="s">
        <v>89</v>
      </c>
      <c r="K331" s="7" t="n">
        <v>45786</v>
      </c>
      <c r="L331" s="7" t="n">
        <v>45789</v>
      </c>
      <c r="M331" s="6" t="n">
        <f aca="false">IF(AND(K331&lt;&gt;"",L331&lt;&gt;""),L331-K331,"")</f>
        <v>3</v>
      </c>
      <c r="N331" s="7" t="n">
        <v>45833</v>
      </c>
      <c r="O331" s="6" t="str">
        <f aca="false">IF(F331="Serious",15,"N/A")</f>
        <v>N/A</v>
      </c>
      <c r="P331" s="6" t="n">
        <f aca="false">N331-B331</f>
        <v>49</v>
      </c>
      <c r="Q331" s="6" t="str">
        <f aca="false">IF(F331="Serious",IF(P331&lt;=O331,"Yes","No"),"N/A")</f>
        <v>N/A</v>
      </c>
      <c r="R331" s="6" t="str">
        <f aca="false">IF(AND(I331="Yes",L331=""),Dashboard!$B$2-K331,"")</f>
        <v/>
      </c>
    </row>
    <row r="332" customFormat="false" ht="15" hidden="false" customHeight="false" outlineLevel="0" collapsed="false">
      <c r="A332" s="6" t="s">
        <v>429</v>
      </c>
      <c r="B332" s="7" t="n">
        <v>45776</v>
      </c>
      <c r="C332" s="6" t="s">
        <v>49</v>
      </c>
      <c r="D332" s="6" t="s">
        <v>69</v>
      </c>
      <c r="E332" s="6" t="s">
        <v>70</v>
      </c>
      <c r="F332" s="6" t="s">
        <v>40</v>
      </c>
      <c r="G332" s="6" t="s">
        <v>53</v>
      </c>
      <c r="H332" s="6" t="s">
        <v>42</v>
      </c>
      <c r="I332" s="6" t="s">
        <v>61</v>
      </c>
      <c r="J332" s="6" t="s">
        <v>126</v>
      </c>
      <c r="K332" s="7" t="n">
        <v>45777</v>
      </c>
      <c r="L332" s="7" t="n">
        <v>45798</v>
      </c>
      <c r="M332" s="6" t="n">
        <f aca="false">IF(AND(K332&lt;&gt;"",L332&lt;&gt;""),L332-K332,"")</f>
        <v>21</v>
      </c>
      <c r="N332" s="7" t="n">
        <v>45782</v>
      </c>
      <c r="O332" s="6" t="n">
        <f aca="false">IF(F332="Serious",15,"N/A")</f>
        <v>15</v>
      </c>
      <c r="P332" s="6" t="n">
        <f aca="false">N332-B332</f>
        <v>6</v>
      </c>
      <c r="Q332" s="6" t="str">
        <f aca="false">IF(F332="Serious",IF(P332&lt;=O332,"Yes","No"),"N/A")</f>
        <v>Yes</v>
      </c>
      <c r="R332" s="6" t="str">
        <f aca="false">IF(AND(I332="Yes",L332=""),Dashboard!$B$2-K332,"")</f>
        <v/>
      </c>
    </row>
    <row r="333" customFormat="false" ht="15" hidden="false" customHeight="false" outlineLevel="0" collapsed="false">
      <c r="A333" s="6" t="s">
        <v>430</v>
      </c>
      <c r="B333" s="7" t="n">
        <v>45798</v>
      </c>
      <c r="C333" s="6" t="s">
        <v>49</v>
      </c>
      <c r="D333" s="6" t="s">
        <v>45</v>
      </c>
      <c r="E333" s="6" t="s">
        <v>91</v>
      </c>
      <c r="F333" s="6" t="s">
        <v>52</v>
      </c>
      <c r="G333" s="6" t="s">
        <v>53</v>
      </c>
      <c r="H333" s="6" t="s">
        <v>60</v>
      </c>
      <c r="I333" s="6" t="s">
        <v>61</v>
      </c>
      <c r="J333" s="6" t="s">
        <v>98</v>
      </c>
      <c r="K333" s="7" t="n">
        <v>45808</v>
      </c>
      <c r="L333" s="7" t="n">
        <v>45818</v>
      </c>
      <c r="M333" s="6" t="n">
        <f aca="false">IF(AND(K333&lt;&gt;"",L333&lt;&gt;""),L333-K333,"")</f>
        <v>10</v>
      </c>
      <c r="N333" s="7" t="n">
        <v>45836</v>
      </c>
      <c r="O333" s="6" t="str">
        <f aca="false">IF(F333="Serious",15,"N/A")</f>
        <v>N/A</v>
      </c>
      <c r="P333" s="6" t="n">
        <f aca="false">N333-B333</f>
        <v>38</v>
      </c>
      <c r="Q333" s="6" t="str">
        <f aca="false">IF(F333="Serious",IF(P333&lt;=O333,"Yes","No"),"N/A")</f>
        <v>N/A</v>
      </c>
      <c r="R333" s="6" t="str">
        <f aca="false">IF(AND(I333="Yes",L333=""),Dashboard!$B$2-K333,"")</f>
        <v/>
      </c>
    </row>
    <row r="334" customFormat="false" ht="15" hidden="false" customHeight="false" outlineLevel="0" collapsed="false">
      <c r="A334" s="6" t="s">
        <v>431</v>
      </c>
      <c r="B334" s="7" t="n">
        <v>45864</v>
      </c>
      <c r="C334" s="6" t="s">
        <v>73</v>
      </c>
      <c r="D334" s="6" t="s">
        <v>101</v>
      </c>
      <c r="E334" s="6" t="s">
        <v>102</v>
      </c>
      <c r="F334" s="6" t="s">
        <v>40</v>
      </c>
      <c r="G334" s="6" t="s">
        <v>47</v>
      </c>
      <c r="H334" s="6" t="s">
        <v>54</v>
      </c>
      <c r="I334" s="6" t="s">
        <v>43</v>
      </c>
      <c r="J334" s="6"/>
      <c r="K334" s="6"/>
      <c r="L334" s="6"/>
      <c r="M334" s="6" t="str">
        <f aca="false">IF(AND(K334&lt;&gt;"",L334&lt;&gt;""),L334-K334,"")</f>
        <v/>
      </c>
      <c r="N334" s="7" t="n">
        <v>45869</v>
      </c>
      <c r="O334" s="6" t="n">
        <f aca="false">IF(F334="Serious",15,"N/A")</f>
        <v>15</v>
      </c>
      <c r="P334" s="6" t="n">
        <f aca="false">N334-B334</f>
        <v>5</v>
      </c>
      <c r="Q334" s="6" t="str">
        <f aca="false">IF(F334="Serious",IF(P334&lt;=O334,"Yes","No"),"N/A")</f>
        <v>Yes</v>
      </c>
      <c r="R334" s="6" t="str">
        <f aca="false">IF(AND(I334="Yes",L334=""),Dashboard!$B$2-K334,"")</f>
        <v/>
      </c>
    </row>
    <row r="335" customFormat="false" ht="15" hidden="false" customHeight="false" outlineLevel="0" collapsed="false">
      <c r="A335" s="6" t="s">
        <v>432</v>
      </c>
      <c r="B335" s="7" t="n">
        <v>45660</v>
      </c>
      <c r="C335" s="6" t="s">
        <v>37</v>
      </c>
      <c r="D335" s="6" t="s">
        <v>45</v>
      </c>
      <c r="E335" s="6" t="s">
        <v>46</v>
      </c>
      <c r="F335" s="6" t="s">
        <v>52</v>
      </c>
      <c r="G335" s="6" t="s">
        <v>66</v>
      </c>
      <c r="H335" s="6" t="s">
        <v>60</v>
      </c>
      <c r="I335" s="6" t="s">
        <v>61</v>
      </c>
      <c r="J335" s="6" t="s">
        <v>76</v>
      </c>
      <c r="K335" s="7" t="n">
        <v>45662</v>
      </c>
      <c r="L335" s="7" t="n">
        <v>45668</v>
      </c>
      <c r="M335" s="6" t="n">
        <f aca="false">IF(AND(K335&lt;&gt;"",L335&lt;&gt;""),L335-K335,"")</f>
        <v>6</v>
      </c>
      <c r="N335" s="7" t="n">
        <v>45681</v>
      </c>
      <c r="O335" s="6" t="str">
        <f aca="false">IF(F335="Serious",15,"N/A")</f>
        <v>N/A</v>
      </c>
      <c r="P335" s="6" t="n">
        <f aca="false">N335-B335</f>
        <v>21</v>
      </c>
      <c r="Q335" s="6" t="str">
        <f aca="false">IF(F335="Serious",IF(P335&lt;=O335,"Yes","No"),"N/A")</f>
        <v>N/A</v>
      </c>
      <c r="R335" s="6" t="str">
        <f aca="false">IF(AND(I335="Yes",L335=""),Dashboard!$B$2-K335,"")</f>
        <v/>
      </c>
    </row>
    <row r="336" customFormat="false" ht="15" hidden="false" customHeight="false" outlineLevel="0" collapsed="false">
      <c r="A336" s="6" t="s">
        <v>433</v>
      </c>
      <c r="B336" s="7" t="n">
        <v>45894</v>
      </c>
      <c r="C336" s="6" t="s">
        <v>49</v>
      </c>
      <c r="D336" s="6" t="s">
        <v>38</v>
      </c>
      <c r="E336" s="6" t="s">
        <v>65</v>
      </c>
      <c r="F336" s="6" t="s">
        <v>52</v>
      </c>
      <c r="G336" s="6" t="s">
        <v>53</v>
      </c>
      <c r="H336" s="6" t="s">
        <v>60</v>
      </c>
      <c r="I336" s="6" t="s">
        <v>61</v>
      </c>
      <c r="J336" s="6" t="s">
        <v>62</v>
      </c>
      <c r="K336" s="7" t="n">
        <v>45900</v>
      </c>
      <c r="L336" s="6"/>
      <c r="M336" s="6" t="str">
        <f aca="false">IF(AND(K336&lt;&gt;"",L336&lt;&gt;""),L336-K336,"")</f>
        <v/>
      </c>
      <c r="N336" s="7" t="n">
        <v>45919</v>
      </c>
      <c r="O336" s="6" t="str">
        <f aca="false">IF(F336="Serious",15,"N/A")</f>
        <v>N/A</v>
      </c>
      <c r="P336" s="6" t="n">
        <f aca="false">N336-B336</f>
        <v>25</v>
      </c>
      <c r="Q336" s="6" t="str">
        <f aca="false">IF(F336="Serious",IF(P336&lt;=O336,"Yes","No"),"N/A")</f>
        <v>N/A</v>
      </c>
      <c r="R336" s="6" t="n">
        <f aca="false">IF(AND(I336="Yes",L336=""),Dashboard!$B$2-K336,"")</f>
        <v>314</v>
      </c>
    </row>
    <row r="337" customFormat="false" ht="15" hidden="false" customHeight="false" outlineLevel="0" collapsed="false">
      <c r="A337" s="6" t="s">
        <v>434</v>
      </c>
      <c r="B337" s="7" t="n">
        <v>46094</v>
      </c>
      <c r="C337" s="6" t="s">
        <v>37</v>
      </c>
      <c r="D337" s="6" t="s">
        <v>45</v>
      </c>
      <c r="E337" s="6" t="s">
        <v>46</v>
      </c>
      <c r="F337" s="6" t="s">
        <v>40</v>
      </c>
      <c r="G337" s="6" t="s">
        <v>53</v>
      </c>
      <c r="H337" s="6" t="s">
        <v>42</v>
      </c>
      <c r="I337" s="6" t="s">
        <v>61</v>
      </c>
      <c r="J337" s="6" t="s">
        <v>74</v>
      </c>
      <c r="K337" s="7" t="n">
        <v>46104</v>
      </c>
      <c r="L337" s="7" t="n">
        <v>46128</v>
      </c>
      <c r="M337" s="6" t="n">
        <f aca="false">IF(AND(K337&lt;&gt;"",L337&lt;&gt;""),L337-K337,"")</f>
        <v>24</v>
      </c>
      <c r="N337" s="7" t="n">
        <v>46101</v>
      </c>
      <c r="O337" s="6" t="n">
        <f aca="false">IF(F337="Serious",15,"N/A")</f>
        <v>15</v>
      </c>
      <c r="P337" s="6" t="n">
        <f aca="false">N337-B337</f>
        <v>7</v>
      </c>
      <c r="Q337" s="6" t="str">
        <f aca="false">IF(F337="Serious",IF(P337&lt;=O337,"Yes","No"),"N/A")</f>
        <v>Yes</v>
      </c>
      <c r="R337" s="6" t="str">
        <f aca="false">IF(AND(I337="Yes",L337=""),Dashboard!$B$2-K337,"")</f>
        <v/>
      </c>
    </row>
    <row r="338" customFormat="false" ht="15" hidden="false" customHeight="false" outlineLevel="0" collapsed="false">
      <c r="A338" s="6" t="s">
        <v>435</v>
      </c>
      <c r="B338" s="7" t="n">
        <v>45845</v>
      </c>
      <c r="C338" s="6" t="s">
        <v>37</v>
      </c>
      <c r="D338" s="6" t="s">
        <v>101</v>
      </c>
      <c r="E338" s="6" t="s">
        <v>102</v>
      </c>
      <c r="F338" s="6" t="s">
        <v>52</v>
      </c>
      <c r="G338" s="6" t="s">
        <v>53</v>
      </c>
      <c r="H338" s="6" t="s">
        <v>60</v>
      </c>
      <c r="I338" s="6" t="s">
        <v>43</v>
      </c>
      <c r="J338" s="6"/>
      <c r="K338" s="6"/>
      <c r="L338" s="6"/>
      <c r="M338" s="6" t="str">
        <f aca="false">IF(AND(K338&lt;&gt;"",L338&lt;&gt;""),L338-K338,"")</f>
        <v/>
      </c>
      <c r="N338" s="7" t="n">
        <v>45901</v>
      </c>
      <c r="O338" s="6" t="str">
        <f aca="false">IF(F338="Serious",15,"N/A")</f>
        <v>N/A</v>
      </c>
      <c r="P338" s="6" t="n">
        <f aca="false">N338-B338</f>
        <v>56</v>
      </c>
      <c r="Q338" s="6" t="str">
        <f aca="false">IF(F338="Serious",IF(P338&lt;=O338,"Yes","No"),"N/A")</f>
        <v>N/A</v>
      </c>
      <c r="R338" s="6" t="str">
        <f aca="false">IF(AND(I338="Yes",L338=""),Dashboard!$B$2-K338,"")</f>
        <v/>
      </c>
    </row>
    <row r="339" customFormat="false" ht="15" hidden="false" customHeight="false" outlineLevel="0" collapsed="false">
      <c r="A339" s="6" t="s">
        <v>436</v>
      </c>
      <c r="B339" s="7" t="n">
        <v>46089</v>
      </c>
      <c r="C339" s="6" t="s">
        <v>56</v>
      </c>
      <c r="D339" s="6" t="s">
        <v>45</v>
      </c>
      <c r="E339" s="6" t="s">
        <v>46</v>
      </c>
      <c r="F339" s="6" t="s">
        <v>52</v>
      </c>
      <c r="G339" s="6" t="s">
        <v>53</v>
      </c>
      <c r="H339" s="6" t="s">
        <v>54</v>
      </c>
      <c r="I339" s="6" t="s">
        <v>61</v>
      </c>
      <c r="J339" s="6" t="s">
        <v>74</v>
      </c>
      <c r="K339" s="7" t="n">
        <v>46099</v>
      </c>
      <c r="L339" s="7" t="n">
        <v>46117</v>
      </c>
      <c r="M339" s="6" t="n">
        <f aca="false">IF(AND(K339&lt;&gt;"",L339&lt;&gt;""),L339-K339,"")</f>
        <v>18</v>
      </c>
      <c r="N339" s="7" t="n">
        <v>46122</v>
      </c>
      <c r="O339" s="6" t="str">
        <f aca="false">IF(F339="Serious",15,"N/A")</f>
        <v>N/A</v>
      </c>
      <c r="P339" s="6" t="n">
        <f aca="false">N339-B339</f>
        <v>33</v>
      </c>
      <c r="Q339" s="6" t="str">
        <f aca="false">IF(F339="Serious",IF(P339&lt;=O339,"Yes","No"),"N/A")</f>
        <v>N/A</v>
      </c>
      <c r="R339" s="6" t="str">
        <f aca="false">IF(AND(I339="Yes",L339=""),Dashboard!$B$2-K339,"")</f>
        <v/>
      </c>
    </row>
    <row r="340" customFormat="false" ht="15" hidden="false" customHeight="false" outlineLevel="0" collapsed="false">
      <c r="A340" s="6" t="s">
        <v>437</v>
      </c>
      <c r="B340" s="7" t="n">
        <v>45843</v>
      </c>
      <c r="C340" s="6" t="s">
        <v>64</v>
      </c>
      <c r="D340" s="6" t="s">
        <v>101</v>
      </c>
      <c r="E340" s="6" t="s">
        <v>102</v>
      </c>
      <c r="F340" s="6" t="s">
        <v>52</v>
      </c>
      <c r="G340" s="6" t="s">
        <v>88</v>
      </c>
      <c r="H340" s="6" t="s">
        <v>54</v>
      </c>
      <c r="I340" s="6" t="s">
        <v>43</v>
      </c>
      <c r="J340" s="6"/>
      <c r="K340" s="6"/>
      <c r="L340" s="6"/>
      <c r="M340" s="6" t="str">
        <f aca="false">IF(AND(K340&lt;&gt;"",L340&lt;&gt;""),L340-K340,"")</f>
        <v/>
      </c>
      <c r="N340" s="7" t="n">
        <v>45856</v>
      </c>
      <c r="O340" s="6" t="str">
        <f aca="false">IF(F340="Serious",15,"N/A")</f>
        <v>N/A</v>
      </c>
      <c r="P340" s="6" t="n">
        <f aca="false">N340-B340</f>
        <v>13</v>
      </c>
      <c r="Q340" s="6" t="str">
        <f aca="false">IF(F340="Serious",IF(P340&lt;=O340,"Yes","No"),"N/A")</f>
        <v>N/A</v>
      </c>
      <c r="R340" s="6" t="str">
        <f aca="false">IF(AND(I340="Yes",L340=""),Dashboard!$B$2-K340,"")</f>
        <v/>
      </c>
    </row>
    <row r="341" customFormat="false" ht="15" hidden="false" customHeight="false" outlineLevel="0" collapsed="false">
      <c r="A341" s="6" t="s">
        <v>438</v>
      </c>
      <c r="B341" s="7" t="n">
        <v>46152</v>
      </c>
      <c r="C341" s="6" t="s">
        <v>49</v>
      </c>
      <c r="D341" s="6" t="s">
        <v>45</v>
      </c>
      <c r="E341" s="6" t="s">
        <v>167</v>
      </c>
      <c r="F341" s="6" t="s">
        <v>52</v>
      </c>
      <c r="G341" s="6" t="s">
        <v>53</v>
      </c>
      <c r="H341" s="6" t="s">
        <v>42</v>
      </c>
      <c r="I341" s="6" t="s">
        <v>61</v>
      </c>
      <c r="J341" s="6" t="s">
        <v>126</v>
      </c>
      <c r="K341" s="7" t="n">
        <v>46161</v>
      </c>
      <c r="L341" s="6"/>
      <c r="M341" s="6" t="str">
        <f aca="false">IF(AND(K341&lt;&gt;"",L341&lt;&gt;""),L341-K341,"")</f>
        <v/>
      </c>
      <c r="N341" s="7" t="n">
        <v>46193</v>
      </c>
      <c r="O341" s="6" t="str">
        <f aca="false">IF(F341="Serious",15,"N/A")</f>
        <v>N/A</v>
      </c>
      <c r="P341" s="6" t="n">
        <f aca="false">N341-B341</f>
        <v>41</v>
      </c>
      <c r="Q341" s="6" t="str">
        <f aca="false">IF(F341="Serious",IF(P341&lt;=O341,"Yes","No"),"N/A")</f>
        <v>N/A</v>
      </c>
      <c r="R341" s="6" t="n">
        <f aca="false">IF(AND(I341="Yes",L341=""),Dashboard!$B$2-K341,"")</f>
        <v>53</v>
      </c>
    </row>
    <row r="342" customFormat="false" ht="15" hidden="false" customHeight="false" outlineLevel="0" collapsed="false">
      <c r="A342" s="6" t="s">
        <v>439</v>
      </c>
      <c r="B342" s="7" t="n">
        <v>45887</v>
      </c>
      <c r="C342" s="6" t="s">
        <v>73</v>
      </c>
      <c r="D342" s="6" t="s">
        <v>85</v>
      </c>
      <c r="E342" s="6" t="s">
        <v>86</v>
      </c>
      <c r="F342" s="6" t="s">
        <v>52</v>
      </c>
      <c r="G342" s="6" t="s">
        <v>41</v>
      </c>
      <c r="H342" s="6" t="s">
        <v>42</v>
      </c>
      <c r="I342" s="6" t="s">
        <v>43</v>
      </c>
      <c r="J342" s="6"/>
      <c r="K342" s="6"/>
      <c r="L342" s="6"/>
      <c r="M342" s="6" t="str">
        <f aca="false">IF(AND(K342&lt;&gt;"",L342&lt;&gt;""),L342-K342,"")</f>
        <v/>
      </c>
      <c r="N342" s="7" t="n">
        <v>45933</v>
      </c>
      <c r="O342" s="6" t="str">
        <f aca="false">IF(F342="Serious",15,"N/A")</f>
        <v>N/A</v>
      </c>
      <c r="P342" s="6" t="n">
        <f aca="false">N342-B342</f>
        <v>46</v>
      </c>
      <c r="Q342" s="6" t="str">
        <f aca="false">IF(F342="Serious",IF(P342&lt;=O342,"Yes","No"),"N/A")</f>
        <v>N/A</v>
      </c>
      <c r="R342" s="6" t="str">
        <f aca="false">IF(AND(I342="Yes",L342=""),Dashboard!$B$2-K342,"")</f>
        <v/>
      </c>
    </row>
    <row r="343" customFormat="false" ht="15" hidden="false" customHeight="false" outlineLevel="0" collapsed="false">
      <c r="A343" s="6" t="s">
        <v>440</v>
      </c>
      <c r="B343" s="7" t="n">
        <v>46052</v>
      </c>
      <c r="C343" s="6" t="s">
        <v>56</v>
      </c>
      <c r="D343" s="6" t="s">
        <v>85</v>
      </c>
      <c r="E343" s="6" t="s">
        <v>86</v>
      </c>
      <c r="F343" s="6" t="s">
        <v>40</v>
      </c>
      <c r="G343" s="6" t="s">
        <v>71</v>
      </c>
      <c r="H343" s="6" t="s">
        <v>42</v>
      </c>
      <c r="I343" s="6" t="s">
        <v>61</v>
      </c>
      <c r="J343" s="6" t="s">
        <v>74</v>
      </c>
      <c r="K343" s="7" t="n">
        <v>46055</v>
      </c>
      <c r="L343" s="7" t="n">
        <v>46071</v>
      </c>
      <c r="M343" s="6" t="n">
        <f aca="false">IF(AND(K343&lt;&gt;"",L343&lt;&gt;""),L343-K343,"")</f>
        <v>16</v>
      </c>
      <c r="N343" s="7" t="n">
        <v>46058</v>
      </c>
      <c r="O343" s="6" t="n">
        <f aca="false">IF(F343="Serious",15,"N/A")</f>
        <v>15</v>
      </c>
      <c r="P343" s="6" t="n">
        <f aca="false">N343-B343</f>
        <v>6</v>
      </c>
      <c r="Q343" s="6" t="str">
        <f aca="false">IF(F343="Serious",IF(P343&lt;=O343,"Yes","No"),"N/A")</f>
        <v>Yes</v>
      </c>
      <c r="R343" s="6" t="str">
        <f aca="false">IF(AND(I343="Yes",L343=""),Dashboard!$B$2-K343,"")</f>
        <v/>
      </c>
    </row>
    <row r="344" customFormat="false" ht="15" hidden="false" customHeight="false" outlineLevel="0" collapsed="false">
      <c r="A344" s="6" t="s">
        <v>441</v>
      </c>
      <c r="B344" s="7" t="n">
        <v>45709</v>
      </c>
      <c r="C344" s="6" t="s">
        <v>64</v>
      </c>
      <c r="D344" s="6" t="s">
        <v>57</v>
      </c>
      <c r="E344" s="6" t="s">
        <v>58</v>
      </c>
      <c r="F344" s="6" t="s">
        <v>52</v>
      </c>
      <c r="G344" s="6" t="s">
        <v>53</v>
      </c>
      <c r="H344" s="6" t="s">
        <v>42</v>
      </c>
      <c r="I344" s="6" t="s">
        <v>43</v>
      </c>
      <c r="J344" s="6"/>
      <c r="K344" s="6"/>
      <c r="L344" s="6"/>
      <c r="M344" s="6" t="str">
        <f aca="false">IF(AND(K344&lt;&gt;"",L344&lt;&gt;""),L344-K344,"")</f>
        <v/>
      </c>
      <c r="N344" s="7" t="n">
        <v>45742</v>
      </c>
      <c r="O344" s="6" t="str">
        <f aca="false">IF(F344="Serious",15,"N/A")</f>
        <v>N/A</v>
      </c>
      <c r="P344" s="6" t="n">
        <f aca="false">N344-B344</f>
        <v>33</v>
      </c>
      <c r="Q344" s="6" t="str">
        <f aca="false">IF(F344="Serious",IF(P344&lt;=O344,"Yes","No"),"N/A")</f>
        <v>N/A</v>
      </c>
      <c r="R344" s="6" t="str">
        <f aca="false">IF(AND(I344="Yes",L344=""),Dashboard!$B$2-K344,"")</f>
        <v/>
      </c>
    </row>
    <row r="345" customFormat="false" ht="15" hidden="false" customHeight="false" outlineLevel="0" collapsed="false">
      <c r="A345" s="6" t="s">
        <v>442</v>
      </c>
      <c r="B345" s="7" t="n">
        <v>45748</v>
      </c>
      <c r="C345" s="6" t="s">
        <v>49</v>
      </c>
      <c r="D345" s="6" t="s">
        <v>69</v>
      </c>
      <c r="E345" s="6" t="s">
        <v>70</v>
      </c>
      <c r="F345" s="6" t="s">
        <v>40</v>
      </c>
      <c r="G345" s="6" t="s">
        <v>59</v>
      </c>
      <c r="H345" s="6" t="s">
        <v>42</v>
      </c>
      <c r="I345" s="6" t="s">
        <v>61</v>
      </c>
      <c r="J345" s="6" t="s">
        <v>74</v>
      </c>
      <c r="K345" s="7" t="n">
        <v>45749</v>
      </c>
      <c r="L345" s="7" t="n">
        <v>45750</v>
      </c>
      <c r="M345" s="6" t="n">
        <f aca="false">IF(AND(K345&lt;&gt;"",L345&lt;&gt;""),L345-K345,"")</f>
        <v>1</v>
      </c>
      <c r="N345" s="7" t="n">
        <v>45759</v>
      </c>
      <c r="O345" s="6" t="n">
        <f aca="false">IF(F345="Serious",15,"N/A")</f>
        <v>15</v>
      </c>
      <c r="P345" s="6" t="n">
        <f aca="false">N345-B345</f>
        <v>11</v>
      </c>
      <c r="Q345" s="6" t="str">
        <f aca="false">IF(F345="Serious",IF(P345&lt;=O345,"Yes","No"),"N/A")</f>
        <v>Yes</v>
      </c>
      <c r="R345" s="6" t="str">
        <f aca="false">IF(AND(I345="Yes",L345=""),Dashboard!$B$2-K345,"")</f>
        <v/>
      </c>
    </row>
    <row r="346" customFormat="false" ht="15" hidden="false" customHeight="false" outlineLevel="0" collapsed="false">
      <c r="A346" s="6" t="s">
        <v>443</v>
      </c>
      <c r="B346" s="7" t="n">
        <v>45969</v>
      </c>
      <c r="C346" s="6" t="s">
        <v>64</v>
      </c>
      <c r="D346" s="6" t="s">
        <v>85</v>
      </c>
      <c r="E346" s="6" t="s">
        <v>86</v>
      </c>
      <c r="F346" s="6" t="s">
        <v>52</v>
      </c>
      <c r="G346" s="6" t="s">
        <v>59</v>
      </c>
      <c r="H346" s="6" t="s">
        <v>60</v>
      </c>
      <c r="I346" s="6" t="s">
        <v>43</v>
      </c>
      <c r="J346" s="6"/>
      <c r="K346" s="6"/>
      <c r="L346" s="6"/>
      <c r="M346" s="6" t="str">
        <f aca="false">IF(AND(K346&lt;&gt;"",L346&lt;&gt;""),L346-K346,"")</f>
        <v/>
      </c>
      <c r="N346" s="7" t="n">
        <v>46026</v>
      </c>
      <c r="O346" s="6" t="str">
        <f aca="false">IF(F346="Serious",15,"N/A")</f>
        <v>N/A</v>
      </c>
      <c r="P346" s="6" t="n">
        <f aca="false">N346-B346</f>
        <v>57</v>
      </c>
      <c r="Q346" s="6" t="str">
        <f aca="false">IF(F346="Serious",IF(P346&lt;=O346,"Yes","No"),"N/A")</f>
        <v>N/A</v>
      </c>
      <c r="R346" s="6" t="str">
        <f aca="false">IF(AND(I346="Yes",L346=""),Dashboard!$B$2-K346,"")</f>
        <v/>
      </c>
    </row>
    <row r="347" customFormat="false" ht="15" hidden="false" customHeight="false" outlineLevel="0" collapsed="false">
      <c r="A347" s="6" t="s">
        <v>444</v>
      </c>
      <c r="B347" s="7" t="n">
        <v>45886</v>
      </c>
      <c r="C347" s="6" t="s">
        <v>49</v>
      </c>
      <c r="D347" s="6" t="s">
        <v>249</v>
      </c>
      <c r="E347" s="6" t="s">
        <v>295</v>
      </c>
      <c r="F347" s="6" t="s">
        <v>52</v>
      </c>
      <c r="G347" s="6" t="s">
        <v>47</v>
      </c>
      <c r="H347" s="6" t="s">
        <v>42</v>
      </c>
      <c r="I347" s="6" t="s">
        <v>61</v>
      </c>
      <c r="J347" s="6" t="s">
        <v>74</v>
      </c>
      <c r="K347" s="7" t="n">
        <v>45888</v>
      </c>
      <c r="L347" s="7" t="n">
        <v>45909</v>
      </c>
      <c r="M347" s="6" t="n">
        <f aca="false">IF(AND(K347&lt;&gt;"",L347&lt;&gt;""),L347-K347,"")</f>
        <v>21</v>
      </c>
      <c r="N347" s="7" t="n">
        <v>45891</v>
      </c>
      <c r="O347" s="6" t="str">
        <f aca="false">IF(F347="Serious",15,"N/A")</f>
        <v>N/A</v>
      </c>
      <c r="P347" s="6" t="n">
        <f aca="false">N347-B347</f>
        <v>5</v>
      </c>
      <c r="Q347" s="6" t="str">
        <f aca="false">IF(F347="Serious",IF(P347&lt;=O347,"Yes","No"),"N/A")</f>
        <v>N/A</v>
      </c>
      <c r="R347" s="6" t="str">
        <f aca="false">IF(AND(I347="Yes",L347=""),Dashboard!$B$2-K347,"")</f>
        <v/>
      </c>
    </row>
    <row r="348" customFormat="false" ht="15" hidden="false" customHeight="false" outlineLevel="0" collapsed="false">
      <c r="A348" s="6" t="s">
        <v>445</v>
      </c>
      <c r="B348" s="7" t="n">
        <v>46007</v>
      </c>
      <c r="C348" s="6" t="s">
        <v>73</v>
      </c>
      <c r="D348" s="6" t="s">
        <v>38</v>
      </c>
      <c r="E348" s="6" t="s">
        <v>65</v>
      </c>
      <c r="F348" s="6" t="s">
        <v>52</v>
      </c>
      <c r="G348" s="6" t="s">
        <v>53</v>
      </c>
      <c r="H348" s="6" t="s">
        <v>60</v>
      </c>
      <c r="I348" s="6" t="s">
        <v>61</v>
      </c>
      <c r="J348" s="6" t="s">
        <v>126</v>
      </c>
      <c r="K348" s="7" t="n">
        <v>46014</v>
      </c>
      <c r="L348" s="7" t="n">
        <v>46033</v>
      </c>
      <c r="M348" s="6" t="n">
        <f aca="false">IF(AND(K348&lt;&gt;"",L348&lt;&gt;""),L348-K348,"")</f>
        <v>19</v>
      </c>
      <c r="N348" s="7" t="n">
        <v>46024</v>
      </c>
      <c r="O348" s="6" t="str">
        <f aca="false">IF(F348="Serious",15,"N/A")</f>
        <v>N/A</v>
      </c>
      <c r="P348" s="6" t="n">
        <f aca="false">N348-B348</f>
        <v>17</v>
      </c>
      <c r="Q348" s="6" t="str">
        <f aca="false">IF(F348="Serious",IF(P348&lt;=O348,"Yes","No"),"N/A")</f>
        <v>N/A</v>
      </c>
      <c r="R348" s="6" t="str">
        <f aca="false">IF(AND(I348="Yes",L348=""),Dashboard!$B$2-K348,"")</f>
        <v/>
      </c>
    </row>
    <row r="349" customFormat="false" ht="15" hidden="false" customHeight="false" outlineLevel="0" collapsed="false">
      <c r="A349" s="6" t="s">
        <v>446</v>
      </c>
      <c r="B349" s="7" t="n">
        <v>45781</v>
      </c>
      <c r="C349" s="6" t="s">
        <v>49</v>
      </c>
      <c r="D349" s="6" t="s">
        <v>57</v>
      </c>
      <c r="E349" s="6" t="s">
        <v>58</v>
      </c>
      <c r="F349" s="6" t="s">
        <v>52</v>
      </c>
      <c r="G349" s="6" t="s">
        <v>53</v>
      </c>
      <c r="H349" s="6" t="s">
        <v>60</v>
      </c>
      <c r="I349" s="6" t="s">
        <v>43</v>
      </c>
      <c r="J349" s="6"/>
      <c r="K349" s="6"/>
      <c r="L349" s="6"/>
      <c r="M349" s="6" t="str">
        <f aca="false">IF(AND(K349&lt;&gt;"",L349&lt;&gt;""),L349-K349,"")</f>
        <v/>
      </c>
      <c r="N349" s="7" t="n">
        <v>45788</v>
      </c>
      <c r="O349" s="6" t="str">
        <f aca="false">IF(F349="Serious",15,"N/A")</f>
        <v>N/A</v>
      </c>
      <c r="P349" s="6" t="n">
        <f aca="false">N349-B349</f>
        <v>7</v>
      </c>
      <c r="Q349" s="6" t="str">
        <f aca="false">IF(F349="Serious",IF(P349&lt;=O349,"Yes","No"),"N/A")</f>
        <v>N/A</v>
      </c>
      <c r="R349" s="6" t="str">
        <f aca="false">IF(AND(I349="Yes",L349=""),Dashboard!$B$2-K349,"")</f>
        <v/>
      </c>
    </row>
    <row r="350" customFormat="false" ht="15" hidden="false" customHeight="false" outlineLevel="0" collapsed="false">
      <c r="A350" s="6" t="s">
        <v>447</v>
      </c>
      <c r="B350" s="7" t="n">
        <v>45784</v>
      </c>
      <c r="C350" s="6" t="s">
        <v>49</v>
      </c>
      <c r="D350" s="6" t="s">
        <v>69</v>
      </c>
      <c r="E350" s="6" t="s">
        <v>118</v>
      </c>
      <c r="F350" s="6" t="s">
        <v>52</v>
      </c>
      <c r="G350" s="6" t="s">
        <v>53</v>
      </c>
      <c r="H350" s="6" t="s">
        <v>42</v>
      </c>
      <c r="I350" s="6" t="s">
        <v>61</v>
      </c>
      <c r="J350" s="6" t="s">
        <v>74</v>
      </c>
      <c r="K350" s="7" t="n">
        <v>45794</v>
      </c>
      <c r="L350" s="7" t="n">
        <v>45810</v>
      </c>
      <c r="M350" s="6" t="n">
        <f aca="false">IF(AND(K350&lt;&gt;"",L350&lt;&gt;""),L350-K350,"")</f>
        <v>16</v>
      </c>
      <c r="N350" s="7" t="n">
        <v>45800</v>
      </c>
      <c r="O350" s="6" t="str">
        <f aca="false">IF(F350="Serious",15,"N/A")</f>
        <v>N/A</v>
      </c>
      <c r="P350" s="6" t="n">
        <f aca="false">N350-B350</f>
        <v>16</v>
      </c>
      <c r="Q350" s="6" t="str">
        <f aca="false">IF(F350="Serious",IF(P350&lt;=O350,"Yes","No"),"N/A")</f>
        <v>N/A</v>
      </c>
      <c r="R350" s="6" t="str">
        <f aca="false">IF(AND(I350="Yes",L350=""),Dashboard!$B$2-K350,"")</f>
        <v/>
      </c>
    </row>
    <row r="351" customFormat="false" ht="15" hidden="false" customHeight="false" outlineLevel="0" collapsed="false">
      <c r="A351" s="6" t="s">
        <v>448</v>
      </c>
      <c r="B351" s="7" t="n">
        <v>45835</v>
      </c>
      <c r="C351" s="6" t="s">
        <v>56</v>
      </c>
      <c r="D351" s="6" t="s">
        <v>45</v>
      </c>
      <c r="E351" s="6" t="s">
        <v>167</v>
      </c>
      <c r="F351" s="6" t="s">
        <v>52</v>
      </c>
      <c r="G351" s="6" t="s">
        <v>47</v>
      </c>
      <c r="H351" s="6" t="s">
        <v>60</v>
      </c>
      <c r="I351" s="6" t="s">
        <v>43</v>
      </c>
      <c r="J351" s="6"/>
      <c r="K351" s="6"/>
      <c r="L351" s="6"/>
      <c r="M351" s="6" t="str">
        <f aca="false">IF(AND(K351&lt;&gt;"",L351&lt;&gt;""),L351-K351,"")</f>
        <v/>
      </c>
      <c r="N351" s="7" t="n">
        <v>45866</v>
      </c>
      <c r="O351" s="6" t="str">
        <f aca="false">IF(F351="Serious",15,"N/A")</f>
        <v>N/A</v>
      </c>
      <c r="P351" s="6" t="n">
        <f aca="false">N351-B351</f>
        <v>31</v>
      </c>
      <c r="Q351" s="6" t="str">
        <f aca="false">IF(F351="Serious",IF(P351&lt;=O351,"Yes","No"),"N/A")</f>
        <v>N/A</v>
      </c>
      <c r="R351" s="6" t="str">
        <f aca="false">IF(AND(I351="Yes",L351=""),Dashboard!$B$2-K351,"")</f>
        <v/>
      </c>
    </row>
    <row r="352" customFormat="false" ht="15" hidden="false" customHeight="false" outlineLevel="0" collapsed="false">
      <c r="A352" s="6" t="s">
        <v>449</v>
      </c>
      <c r="B352" s="7" t="n">
        <v>45912</v>
      </c>
      <c r="C352" s="6" t="s">
        <v>73</v>
      </c>
      <c r="D352" s="6" t="s">
        <v>101</v>
      </c>
      <c r="E352" s="6" t="s">
        <v>102</v>
      </c>
      <c r="F352" s="6" t="s">
        <v>52</v>
      </c>
      <c r="G352" s="6" t="s">
        <v>59</v>
      </c>
      <c r="H352" s="6" t="s">
        <v>60</v>
      </c>
      <c r="I352" s="6" t="s">
        <v>61</v>
      </c>
      <c r="J352" s="6" t="s">
        <v>126</v>
      </c>
      <c r="K352" s="7" t="n">
        <v>45921</v>
      </c>
      <c r="L352" s="7" t="n">
        <v>45943</v>
      </c>
      <c r="M352" s="6" t="n">
        <f aca="false">IF(AND(K352&lt;&gt;"",L352&lt;&gt;""),L352-K352,"")</f>
        <v>22</v>
      </c>
      <c r="N352" s="7" t="n">
        <v>45972</v>
      </c>
      <c r="O352" s="6" t="str">
        <f aca="false">IF(F352="Serious",15,"N/A")</f>
        <v>N/A</v>
      </c>
      <c r="P352" s="6" t="n">
        <f aca="false">N352-B352</f>
        <v>60</v>
      </c>
      <c r="Q352" s="6" t="str">
        <f aca="false">IF(F352="Serious",IF(P352&lt;=O352,"Yes","No"),"N/A")</f>
        <v>N/A</v>
      </c>
      <c r="R352" s="6" t="str">
        <f aca="false">IF(AND(I352="Yes",L352=""),Dashboard!$B$2-K352,"")</f>
        <v/>
      </c>
    </row>
    <row r="353" customFormat="false" ht="15" hidden="false" customHeight="false" outlineLevel="0" collapsed="false">
      <c r="A353" s="6" t="s">
        <v>450</v>
      </c>
      <c r="B353" s="7" t="n">
        <v>45979</v>
      </c>
      <c r="C353" s="6" t="s">
        <v>64</v>
      </c>
      <c r="D353" s="6" t="s">
        <v>57</v>
      </c>
      <c r="E353" s="6" t="s">
        <v>94</v>
      </c>
      <c r="F353" s="6" t="s">
        <v>40</v>
      </c>
      <c r="G353" s="6" t="s">
        <v>66</v>
      </c>
      <c r="H353" s="6" t="s">
        <v>42</v>
      </c>
      <c r="I353" s="6" t="s">
        <v>43</v>
      </c>
      <c r="J353" s="6"/>
      <c r="K353" s="6"/>
      <c r="L353" s="6"/>
      <c r="M353" s="6" t="str">
        <f aca="false">IF(AND(K353&lt;&gt;"",L353&lt;&gt;""),L353-K353,"")</f>
        <v/>
      </c>
      <c r="N353" s="7" t="n">
        <v>45992</v>
      </c>
      <c r="O353" s="6" t="n">
        <f aca="false">IF(F353="Serious",15,"N/A")</f>
        <v>15</v>
      </c>
      <c r="P353" s="6" t="n">
        <f aca="false">N353-B353</f>
        <v>13</v>
      </c>
      <c r="Q353" s="6" t="str">
        <f aca="false">IF(F353="Serious",IF(P353&lt;=O353,"Yes","No"),"N/A")</f>
        <v>Yes</v>
      </c>
      <c r="R353" s="6" t="str">
        <f aca="false">IF(AND(I353="Yes",L353=""),Dashboard!$B$2-K353,"")</f>
        <v/>
      </c>
    </row>
    <row r="354" customFormat="false" ht="15" hidden="false" customHeight="false" outlineLevel="0" collapsed="false">
      <c r="A354" s="6" t="s">
        <v>451</v>
      </c>
      <c r="B354" s="7" t="n">
        <v>45840</v>
      </c>
      <c r="C354" s="6" t="s">
        <v>64</v>
      </c>
      <c r="D354" s="6" t="s">
        <v>85</v>
      </c>
      <c r="E354" s="6" t="s">
        <v>109</v>
      </c>
      <c r="F354" s="6" t="s">
        <v>52</v>
      </c>
      <c r="G354" s="6" t="s">
        <v>41</v>
      </c>
      <c r="H354" s="6" t="s">
        <v>42</v>
      </c>
      <c r="I354" s="6" t="s">
        <v>61</v>
      </c>
      <c r="J354" s="6" t="s">
        <v>126</v>
      </c>
      <c r="K354" s="7" t="n">
        <v>45847</v>
      </c>
      <c r="L354" s="7" t="n">
        <v>45878</v>
      </c>
      <c r="M354" s="6" t="n">
        <f aca="false">IF(AND(K354&lt;&gt;"",L354&lt;&gt;""),L354-K354,"")</f>
        <v>31</v>
      </c>
      <c r="N354" s="7" t="n">
        <v>45879</v>
      </c>
      <c r="O354" s="6" t="str">
        <f aca="false">IF(F354="Serious",15,"N/A")</f>
        <v>N/A</v>
      </c>
      <c r="P354" s="6" t="n">
        <f aca="false">N354-B354</f>
        <v>39</v>
      </c>
      <c r="Q354" s="6" t="str">
        <f aca="false">IF(F354="Serious",IF(P354&lt;=O354,"Yes","No"),"N/A")</f>
        <v>N/A</v>
      </c>
      <c r="R354" s="6" t="str">
        <f aca="false">IF(AND(I354="Yes",L354=""),Dashboard!$B$2-K354,"")</f>
        <v/>
      </c>
    </row>
    <row r="355" customFormat="false" ht="15" hidden="false" customHeight="false" outlineLevel="0" collapsed="false">
      <c r="A355" s="6" t="s">
        <v>452</v>
      </c>
      <c r="B355" s="7" t="n">
        <v>45950</v>
      </c>
      <c r="C355" s="6" t="s">
        <v>49</v>
      </c>
      <c r="D355" s="6" t="s">
        <v>79</v>
      </c>
      <c r="E355" s="6" t="s">
        <v>80</v>
      </c>
      <c r="F355" s="6" t="s">
        <v>40</v>
      </c>
      <c r="G355" s="6" t="s">
        <v>53</v>
      </c>
      <c r="H355" s="6" t="s">
        <v>42</v>
      </c>
      <c r="I355" s="6" t="s">
        <v>61</v>
      </c>
      <c r="J355" s="6" t="s">
        <v>98</v>
      </c>
      <c r="K355" s="7" t="n">
        <v>45955</v>
      </c>
      <c r="L355" s="7" t="n">
        <v>45962</v>
      </c>
      <c r="M355" s="6" t="n">
        <f aca="false">IF(AND(K355&lt;&gt;"",L355&lt;&gt;""),L355-K355,"")</f>
        <v>7</v>
      </c>
      <c r="N355" s="7" t="n">
        <v>45964</v>
      </c>
      <c r="O355" s="6" t="n">
        <f aca="false">IF(F355="Serious",15,"N/A")</f>
        <v>15</v>
      </c>
      <c r="P355" s="6" t="n">
        <f aca="false">N355-B355</f>
        <v>14</v>
      </c>
      <c r="Q355" s="6" t="str">
        <f aca="false">IF(F355="Serious",IF(P355&lt;=O355,"Yes","No"),"N/A")</f>
        <v>Yes</v>
      </c>
      <c r="R355" s="6" t="str">
        <f aca="false">IF(AND(I355="Yes",L355=""),Dashboard!$B$2-K355,"")</f>
        <v/>
      </c>
    </row>
    <row r="356" customFormat="false" ht="15" hidden="false" customHeight="false" outlineLevel="0" collapsed="false">
      <c r="A356" s="6" t="s">
        <v>453</v>
      </c>
      <c r="B356" s="7" t="n">
        <v>45960</v>
      </c>
      <c r="C356" s="6" t="s">
        <v>56</v>
      </c>
      <c r="D356" s="6" t="s">
        <v>85</v>
      </c>
      <c r="E356" s="6" t="s">
        <v>86</v>
      </c>
      <c r="F356" s="6" t="s">
        <v>52</v>
      </c>
      <c r="G356" s="6" t="s">
        <v>59</v>
      </c>
      <c r="H356" s="6" t="s">
        <v>42</v>
      </c>
      <c r="I356" s="6" t="s">
        <v>43</v>
      </c>
      <c r="J356" s="6"/>
      <c r="K356" s="6"/>
      <c r="L356" s="6"/>
      <c r="M356" s="6" t="str">
        <f aca="false">IF(AND(K356&lt;&gt;"",L356&lt;&gt;""),L356-K356,"")</f>
        <v/>
      </c>
      <c r="N356" s="7" t="n">
        <v>46000</v>
      </c>
      <c r="O356" s="6" t="str">
        <f aca="false">IF(F356="Serious",15,"N/A")</f>
        <v>N/A</v>
      </c>
      <c r="P356" s="6" t="n">
        <f aca="false">N356-B356</f>
        <v>40</v>
      </c>
      <c r="Q356" s="6" t="str">
        <f aca="false">IF(F356="Serious",IF(P356&lt;=O356,"Yes","No"),"N/A")</f>
        <v>N/A</v>
      </c>
      <c r="R356" s="6" t="str">
        <f aca="false">IF(AND(I356="Yes",L356=""),Dashboard!$B$2-K356,"")</f>
        <v/>
      </c>
    </row>
    <row r="357" customFormat="false" ht="15" hidden="false" customHeight="false" outlineLevel="0" collapsed="false">
      <c r="A357" s="6" t="s">
        <v>454</v>
      </c>
      <c r="B357" s="7" t="n">
        <v>45887</v>
      </c>
      <c r="C357" s="6" t="s">
        <v>64</v>
      </c>
      <c r="D357" s="6" t="s">
        <v>101</v>
      </c>
      <c r="E357" s="6" t="s">
        <v>124</v>
      </c>
      <c r="F357" s="6" t="s">
        <v>52</v>
      </c>
      <c r="G357" s="6" t="s">
        <v>41</v>
      </c>
      <c r="H357" s="6" t="s">
        <v>42</v>
      </c>
      <c r="I357" s="6" t="s">
        <v>43</v>
      </c>
      <c r="J357" s="6"/>
      <c r="K357" s="6"/>
      <c r="L357" s="6"/>
      <c r="M357" s="6" t="str">
        <f aca="false">IF(AND(K357&lt;&gt;"",L357&lt;&gt;""),L357-K357,"")</f>
        <v/>
      </c>
      <c r="N357" s="7" t="n">
        <v>45895</v>
      </c>
      <c r="O357" s="6" t="str">
        <f aca="false">IF(F357="Serious",15,"N/A")</f>
        <v>N/A</v>
      </c>
      <c r="P357" s="6" t="n">
        <f aca="false">N357-B357</f>
        <v>8</v>
      </c>
      <c r="Q357" s="6" t="str">
        <f aca="false">IF(F357="Serious",IF(P357&lt;=O357,"Yes","No"),"N/A")</f>
        <v>N/A</v>
      </c>
      <c r="R357" s="6" t="str">
        <f aca="false">IF(AND(I357="Yes",L357=""),Dashboard!$B$2-K357,"")</f>
        <v/>
      </c>
    </row>
    <row r="358" customFormat="false" ht="15" hidden="false" customHeight="false" outlineLevel="0" collapsed="false">
      <c r="A358" s="6" t="s">
        <v>455</v>
      </c>
      <c r="B358" s="7" t="n">
        <v>46048</v>
      </c>
      <c r="C358" s="6" t="s">
        <v>49</v>
      </c>
      <c r="D358" s="6" t="s">
        <v>101</v>
      </c>
      <c r="E358" s="6" t="s">
        <v>132</v>
      </c>
      <c r="F358" s="6" t="s">
        <v>52</v>
      </c>
      <c r="G358" s="6" t="s">
        <v>47</v>
      </c>
      <c r="H358" s="6" t="s">
        <v>60</v>
      </c>
      <c r="I358" s="6" t="s">
        <v>61</v>
      </c>
      <c r="J358" s="6" t="s">
        <v>76</v>
      </c>
      <c r="K358" s="7" t="n">
        <v>46056</v>
      </c>
      <c r="L358" s="6"/>
      <c r="M358" s="6" t="str">
        <f aca="false">IF(AND(K358&lt;&gt;"",L358&lt;&gt;""),L358-K358,"")</f>
        <v/>
      </c>
      <c r="N358" s="7" t="n">
        <v>46093</v>
      </c>
      <c r="O358" s="6" t="str">
        <f aca="false">IF(F358="Serious",15,"N/A")</f>
        <v>N/A</v>
      </c>
      <c r="P358" s="6" t="n">
        <f aca="false">N358-B358</f>
        <v>45</v>
      </c>
      <c r="Q358" s="6" t="str">
        <f aca="false">IF(F358="Serious",IF(P358&lt;=O358,"Yes","No"),"N/A")</f>
        <v>N/A</v>
      </c>
      <c r="R358" s="6" t="n">
        <f aca="false">IF(AND(I358="Yes",L358=""),Dashboard!$B$2-K358,"")</f>
        <v>158</v>
      </c>
    </row>
    <row r="359" customFormat="false" ht="15" hidden="false" customHeight="false" outlineLevel="0" collapsed="false">
      <c r="A359" s="6" t="s">
        <v>456</v>
      </c>
      <c r="B359" s="7" t="n">
        <v>46034</v>
      </c>
      <c r="C359" s="6" t="s">
        <v>64</v>
      </c>
      <c r="D359" s="6" t="s">
        <v>85</v>
      </c>
      <c r="E359" s="6" t="s">
        <v>86</v>
      </c>
      <c r="F359" s="6" t="s">
        <v>52</v>
      </c>
      <c r="G359" s="6" t="s">
        <v>121</v>
      </c>
      <c r="H359" s="6" t="s">
        <v>60</v>
      </c>
      <c r="I359" s="6" t="s">
        <v>61</v>
      </c>
      <c r="J359" s="6" t="s">
        <v>126</v>
      </c>
      <c r="K359" s="7" t="n">
        <v>46036</v>
      </c>
      <c r="L359" s="7" t="n">
        <v>46044</v>
      </c>
      <c r="M359" s="6" t="n">
        <f aca="false">IF(AND(K359&lt;&gt;"",L359&lt;&gt;""),L359-K359,"")</f>
        <v>8</v>
      </c>
      <c r="N359" s="7" t="n">
        <v>46071</v>
      </c>
      <c r="O359" s="6" t="str">
        <f aca="false">IF(F359="Serious",15,"N/A")</f>
        <v>N/A</v>
      </c>
      <c r="P359" s="6" t="n">
        <f aca="false">N359-B359</f>
        <v>37</v>
      </c>
      <c r="Q359" s="6" t="str">
        <f aca="false">IF(F359="Serious",IF(P359&lt;=O359,"Yes","No"),"N/A")</f>
        <v>N/A</v>
      </c>
      <c r="R359" s="6" t="str">
        <f aca="false">IF(AND(I359="Yes",L359=""),Dashboard!$B$2-K359,"")</f>
        <v/>
      </c>
    </row>
    <row r="360" customFormat="false" ht="15" hidden="false" customHeight="false" outlineLevel="0" collapsed="false">
      <c r="A360" s="6" t="s">
        <v>457</v>
      </c>
      <c r="B360" s="7" t="n">
        <v>45780</v>
      </c>
      <c r="C360" s="6" t="s">
        <v>49</v>
      </c>
      <c r="D360" s="6" t="s">
        <v>79</v>
      </c>
      <c r="E360" s="6" t="s">
        <v>223</v>
      </c>
      <c r="F360" s="6" t="s">
        <v>52</v>
      </c>
      <c r="G360" s="6" t="s">
        <v>53</v>
      </c>
      <c r="H360" s="6" t="s">
        <v>60</v>
      </c>
      <c r="I360" s="6" t="s">
        <v>43</v>
      </c>
      <c r="J360" s="6"/>
      <c r="K360" s="6"/>
      <c r="L360" s="6"/>
      <c r="M360" s="6" t="str">
        <f aca="false">IF(AND(K360&lt;&gt;"",L360&lt;&gt;""),L360-K360,"")</f>
        <v/>
      </c>
      <c r="N360" s="7" t="n">
        <v>45785</v>
      </c>
      <c r="O360" s="6" t="str">
        <f aca="false">IF(F360="Serious",15,"N/A")</f>
        <v>N/A</v>
      </c>
      <c r="P360" s="6" t="n">
        <f aca="false">N360-B360</f>
        <v>5</v>
      </c>
      <c r="Q360" s="6" t="str">
        <f aca="false">IF(F360="Serious",IF(P360&lt;=O360,"Yes","No"),"N/A")</f>
        <v>N/A</v>
      </c>
      <c r="R360" s="6" t="str">
        <f aca="false">IF(AND(I360="Yes",L360=""),Dashboard!$B$2-K360,"")</f>
        <v/>
      </c>
    </row>
    <row r="361" customFormat="false" ht="15" hidden="false" customHeight="false" outlineLevel="0" collapsed="false">
      <c r="A361" s="6" t="s">
        <v>458</v>
      </c>
      <c r="B361" s="7" t="n">
        <v>45996</v>
      </c>
      <c r="C361" s="6" t="s">
        <v>49</v>
      </c>
      <c r="D361" s="6" t="s">
        <v>82</v>
      </c>
      <c r="E361" s="6" t="s">
        <v>116</v>
      </c>
      <c r="F361" s="6" t="s">
        <v>40</v>
      </c>
      <c r="G361" s="6" t="s">
        <v>59</v>
      </c>
      <c r="H361" s="6" t="s">
        <v>60</v>
      </c>
      <c r="I361" s="6" t="s">
        <v>43</v>
      </c>
      <c r="J361" s="6"/>
      <c r="K361" s="6"/>
      <c r="L361" s="6"/>
      <c r="M361" s="6" t="str">
        <f aca="false">IF(AND(K361&lt;&gt;"",L361&lt;&gt;""),L361-K361,"")</f>
        <v/>
      </c>
      <c r="N361" s="7" t="n">
        <v>46008</v>
      </c>
      <c r="O361" s="6" t="n">
        <f aca="false">IF(F361="Serious",15,"N/A")</f>
        <v>15</v>
      </c>
      <c r="P361" s="6" t="n">
        <f aca="false">N361-B361</f>
        <v>12</v>
      </c>
      <c r="Q361" s="6" t="str">
        <f aca="false">IF(F361="Serious",IF(P361&lt;=O361,"Yes","No"),"N/A")</f>
        <v>Yes</v>
      </c>
      <c r="R361" s="6" t="str">
        <f aca="false">IF(AND(I361="Yes",L361=""),Dashboard!$B$2-K361,"")</f>
        <v/>
      </c>
    </row>
    <row r="362" customFormat="false" ht="15" hidden="false" customHeight="false" outlineLevel="0" collapsed="false">
      <c r="A362" s="6" t="s">
        <v>459</v>
      </c>
      <c r="B362" s="7" t="n">
        <v>45966</v>
      </c>
      <c r="C362" s="6" t="s">
        <v>49</v>
      </c>
      <c r="D362" s="6" t="s">
        <v>50</v>
      </c>
      <c r="E362" s="6" t="s">
        <v>51</v>
      </c>
      <c r="F362" s="6" t="s">
        <v>40</v>
      </c>
      <c r="G362" s="6" t="s">
        <v>66</v>
      </c>
      <c r="H362" s="6" t="s">
        <v>42</v>
      </c>
      <c r="I362" s="6" t="s">
        <v>43</v>
      </c>
      <c r="J362" s="6"/>
      <c r="K362" s="6"/>
      <c r="L362" s="6"/>
      <c r="M362" s="6" t="str">
        <f aca="false">IF(AND(K362&lt;&gt;"",L362&lt;&gt;""),L362-K362,"")</f>
        <v/>
      </c>
      <c r="N362" s="7" t="n">
        <v>45980</v>
      </c>
      <c r="O362" s="6" t="n">
        <f aca="false">IF(F362="Serious",15,"N/A")</f>
        <v>15</v>
      </c>
      <c r="P362" s="6" t="n">
        <f aca="false">N362-B362</f>
        <v>14</v>
      </c>
      <c r="Q362" s="6" t="str">
        <f aca="false">IF(F362="Serious",IF(P362&lt;=O362,"Yes","No"),"N/A")</f>
        <v>Yes</v>
      </c>
      <c r="R362" s="6" t="str">
        <f aca="false">IF(AND(I362="Yes",L362=""),Dashboard!$B$2-K362,"")</f>
        <v/>
      </c>
    </row>
    <row r="363" customFormat="false" ht="15" hidden="false" customHeight="false" outlineLevel="0" collapsed="false">
      <c r="A363" s="6" t="s">
        <v>460</v>
      </c>
      <c r="B363" s="7" t="n">
        <v>46175</v>
      </c>
      <c r="C363" s="6" t="s">
        <v>56</v>
      </c>
      <c r="D363" s="6" t="s">
        <v>101</v>
      </c>
      <c r="E363" s="6" t="s">
        <v>132</v>
      </c>
      <c r="F363" s="6" t="s">
        <v>52</v>
      </c>
      <c r="G363" s="6" t="s">
        <v>53</v>
      </c>
      <c r="H363" s="6" t="s">
        <v>60</v>
      </c>
      <c r="I363" s="6" t="s">
        <v>61</v>
      </c>
      <c r="J363" s="6" t="s">
        <v>62</v>
      </c>
      <c r="K363" s="7" t="n">
        <v>46181</v>
      </c>
      <c r="L363" s="7" t="n">
        <v>46190</v>
      </c>
      <c r="M363" s="6" t="n">
        <f aca="false">IF(AND(K363&lt;&gt;"",L363&lt;&gt;""),L363-K363,"")</f>
        <v>9</v>
      </c>
      <c r="N363" s="7" t="n">
        <v>46228</v>
      </c>
      <c r="O363" s="6" t="str">
        <f aca="false">IF(F363="Serious",15,"N/A")</f>
        <v>N/A</v>
      </c>
      <c r="P363" s="6" t="n">
        <f aca="false">N363-B363</f>
        <v>53</v>
      </c>
      <c r="Q363" s="6" t="str">
        <f aca="false">IF(F363="Serious",IF(P363&lt;=O363,"Yes","No"),"N/A")</f>
        <v>N/A</v>
      </c>
      <c r="R363" s="6" t="str">
        <f aca="false">IF(AND(I363="Yes",L363=""),Dashboard!$B$2-K363,"")</f>
        <v/>
      </c>
    </row>
    <row r="364" customFormat="false" ht="15" hidden="false" customHeight="false" outlineLevel="0" collapsed="false">
      <c r="A364" s="6" t="s">
        <v>461</v>
      </c>
      <c r="B364" s="7" t="n">
        <v>46201</v>
      </c>
      <c r="C364" s="6" t="s">
        <v>49</v>
      </c>
      <c r="D364" s="6" t="s">
        <v>85</v>
      </c>
      <c r="E364" s="6" t="s">
        <v>86</v>
      </c>
      <c r="F364" s="6" t="s">
        <v>40</v>
      </c>
      <c r="G364" s="6" t="s">
        <v>59</v>
      </c>
      <c r="H364" s="6" t="s">
        <v>60</v>
      </c>
      <c r="I364" s="6" t="s">
        <v>43</v>
      </c>
      <c r="J364" s="6"/>
      <c r="K364" s="6"/>
      <c r="L364" s="6"/>
      <c r="M364" s="6" t="str">
        <f aca="false">IF(AND(K364&lt;&gt;"",L364&lt;&gt;""),L364-K364,"")</f>
        <v/>
      </c>
      <c r="N364" s="7" t="n">
        <v>46220</v>
      </c>
      <c r="O364" s="6" t="n">
        <f aca="false">IF(F364="Serious",15,"N/A")</f>
        <v>15</v>
      </c>
      <c r="P364" s="6" t="n">
        <f aca="false">N364-B364</f>
        <v>19</v>
      </c>
      <c r="Q364" s="6" t="str">
        <f aca="false">IF(F364="Serious",IF(P364&lt;=O364,"Yes","No"),"N/A")</f>
        <v>No</v>
      </c>
      <c r="R364" s="6" t="str">
        <f aca="false">IF(AND(I364="Yes",L364=""),Dashboard!$B$2-K364,"")</f>
        <v/>
      </c>
    </row>
    <row r="365" customFormat="false" ht="15" hidden="false" customHeight="false" outlineLevel="0" collapsed="false">
      <c r="A365" s="6" t="s">
        <v>462</v>
      </c>
      <c r="B365" s="7" t="n">
        <v>45698</v>
      </c>
      <c r="C365" s="6" t="s">
        <v>73</v>
      </c>
      <c r="D365" s="6" t="s">
        <v>101</v>
      </c>
      <c r="E365" s="6" t="s">
        <v>124</v>
      </c>
      <c r="F365" s="6" t="s">
        <v>52</v>
      </c>
      <c r="G365" s="6" t="s">
        <v>47</v>
      </c>
      <c r="H365" s="6" t="s">
        <v>60</v>
      </c>
      <c r="I365" s="6" t="s">
        <v>43</v>
      </c>
      <c r="J365" s="6"/>
      <c r="K365" s="6"/>
      <c r="L365" s="6"/>
      <c r="M365" s="6" t="str">
        <f aca="false">IF(AND(K365&lt;&gt;"",L365&lt;&gt;""),L365-K365,"")</f>
        <v/>
      </c>
      <c r="N365" s="7" t="n">
        <v>45755</v>
      </c>
      <c r="O365" s="6" t="str">
        <f aca="false">IF(F365="Serious",15,"N/A")</f>
        <v>N/A</v>
      </c>
      <c r="P365" s="6" t="n">
        <f aca="false">N365-B365</f>
        <v>57</v>
      </c>
      <c r="Q365" s="6" t="str">
        <f aca="false">IF(F365="Serious",IF(P365&lt;=O365,"Yes","No"),"N/A")</f>
        <v>N/A</v>
      </c>
      <c r="R365" s="6" t="str">
        <f aca="false">IF(AND(I365="Yes",L365=""),Dashboard!$B$2-K365,"")</f>
        <v/>
      </c>
    </row>
    <row r="366" customFormat="false" ht="15" hidden="false" customHeight="false" outlineLevel="0" collapsed="false">
      <c r="A366" s="6" t="s">
        <v>463</v>
      </c>
      <c r="B366" s="7" t="n">
        <v>46041</v>
      </c>
      <c r="C366" s="6" t="s">
        <v>64</v>
      </c>
      <c r="D366" s="6" t="s">
        <v>85</v>
      </c>
      <c r="E366" s="6" t="s">
        <v>109</v>
      </c>
      <c r="F366" s="6" t="s">
        <v>52</v>
      </c>
      <c r="G366" s="6" t="s">
        <v>53</v>
      </c>
      <c r="H366" s="6" t="s">
        <v>42</v>
      </c>
      <c r="I366" s="6" t="s">
        <v>61</v>
      </c>
      <c r="J366" s="6" t="s">
        <v>89</v>
      </c>
      <c r="K366" s="7" t="n">
        <v>46043</v>
      </c>
      <c r="L366" s="7" t="n">
        <v>46079</v>
      </c>
      <c r="M366" s="6" t="n">
        <f aca="false">IF(AND(K366&lt;&gt;"",L366&lt;&gt;""),L366-K366,"")</f>
        <v>36</v>
      </c>
      <c r="N366" s="7" t="n">
        <v>46080</v>
      </c>
      <c r="O366" s="6" t="str">
        <f aca="false">IF(F366="Serious",15,"N/A")</f>
        <v>N/A</v>
      </c>
      <c r="P366" s="6" t="n">
        <f aca="false">N366-B366</f>
        <v>39</v>
      </c>
      <c r="Q366" s="6" t="str">
        <f aca="false">IF(F366="Serious",IF(P366&lt;=O366,"Yes","No"),"N/A")</f>
        <v>N/A</v>
      </c>
      <c r="R366" s="6" t="str">
        <f aca="false">IF(AND(I366="Yes",L366=""),Dashboard!$B$2-K366,"")</f>
        <v/>
      </c>
    </row>
    <row r="367" customFormat="false" ht="15" hidden="false" customHeight="false" outlineLevel="0" collapsed="false">
      <c r="A367" s="6" t="s">
        <v>464</v>
      </c>
      <c r="B367" s="7" t="n">
        <v>45665</v>
      </c>
      <c r="C367" s="6" t="s">
        <v>37</v>
      </c>
      <c r="D367" s="6" t="s">
        <v>57</v>
      </c>
      <c r="E367" s="6" t="s">
        <v>94</v>
      </c>
      <c r="F367" s="6" t="s">
        <v>52</v>
      </c>
      <c r="G367" s="6" t="s">
        <v>59</v>
      </c>
      <c r="H367" s="6" t="s">
        <v>60</v>
      </c>
      <c r="I367" s="6" t="s">
        <v>61</v>
      </c>
      <c r="J367" s="6" t="s">
        <v>126</v>
      </c>
      <c r="K367" s="7" t="n">
        <v>45672</v>
      </c>
      <c r="L367" s="7" t="n">
        <v>45707</v>
      </c>
      <c r="M367" s="6" t="n">
        <f aca="false">IF(AND(K367&lt;&gt;"",L367&lt;&gt;""),L367-K367,"")</f>
        <v>35</v>
      </c>
      <c r="N367" s="7" t="n">
        <v>45717</v>
      </c>
      <c r="O367" s="6" t="str">
        <f aca="false">IF(F367="Serious",15,"N/A")</f>
        <v>N/A</v>
      </c>
      <c r="P367" s="6" t="n">
        <f aca="false">N367-B367</f>
        <v>52</v>
      </c>
      <c r="Q367" s="6" t="str">
        <f aca="false">IF(F367="Serious",IF(P367&lt;=O367,"Yes","No"),"N/A")</f>
        <v>N/A</v>
      </c>
      <c r="R367" s="6" t="str">
        <f aca="false">IF(AND(I367="Yes",L367=""),Dashboard!$B$2-K367,"")</f>
        <v/>
      </c>
    </row>
    <row r="368" customFormat="false" ht="15" hidden="false" customHeight="false" outlineLevel="0" collapsed="false">
      <c r="A368" s="6" t="s">
        <v>465</v>
      </c>
      <c r="B368" s="7" t="n">
        <v>45815</v>
      </c>
      <c r="C368" s="6" t="s">
        <v>37</v>
      </c>
      <c r="D368" s="6" t="s">
        <v>69</v>
      </c>
      <c r="E368" s="6" t="s">
        <v>70</v>
      </c>
      <c r="F368" s="6" t="s">
        <v>40</v>
      </c>
      <c r="G368" s="6" t="s">
        <v>53</v>
      </c>
      <c r="H368" s="6" t="s">
        <v>60</v>
      </c>
      <c r="I368" s="6" t="s">
        <v>61</v>
      </c>
      <c r="J368" s="6" t="s">
        <v>89</v>
      </c>
      <c r="K368" s="7" t="n">
        <v>45825</v>
      </c>
      <c r="L368" s="6"/>
      <c r="M368" s="6" t="str">
        <f aca="false">IF(AND(K368&lt;&gt;"",L368&lt;&gt;""),L368-K368,"")</f>
        <v/>
      </c>
      <c r="N368" s="7" t="n">
        <v>45837</v>
      </c>
      <c r="O368" s="6" t="n">
        <f aca="false">IF(F368="Serious",15,"N/A")</f>
        <v>15</v>
      </c>
      <c r="P368" s="6" t="n">
        <f aca="false">N368-B368</f>
        <v>22</v>
      </c>
      <c r="Q368" s="6" t="str">
        <f aca="false">IF(F368="Serious",IF(P368&lt;=O368,"Yes","No"),"N/A")</f>
        <v>No</v>
      </c>
      <c r="R368" s="6" t="n">
        <f aca="false">IF(AND(I368="Yes",L368=""),Dashboard!$B$2-K368,"")</f>
        <v>389</v>
      </c>
    </row>
    <row r="369" customFormat="false" ht="15" hidden="false" customHeight="false" outlineLevel="0" collapsed="false">
      <c r="A369" s="6" t="s">
        <v>466</v>
      </c>
      <c r="B369" s="7" t="n">
        <v>46055</v>
      </c>
      <c r="C369" s="6" t="s">
        <v>49</v>
      </c>
      <c r="D369" s="6" t="s">
        <v>101</v>
      </c>
      <c r="E369" s="6" t="s">
        <v>102</v>
      </c>
      <c r="F369" s="6" t="s">
        <v>52</v>
      </c>
      <c r="G369" s="6" t="s">
        <v>59</v>
      </c>
      <c r="H369" s="6" t="s">
        <v>60</v>
      </c>
      <c r="I369" s="6" t="s">
        <v>61</v>
      </c>
      <c r="J369" s="6" t="s">
        <v>126</v>
      </c>
      <c r="K369" s="7" t="n">
        <v>46065</v>
      </c>
      <c r="L369" s="7" t="n">
        <v>46089</v>
      </c>
      <c r="M369" s="6" t="n">
        <f aca="false">IF(AND(K369&lt;&gt;"",L369&lt;&gt;""),L369-K369,"")</f>
        <v>24</v>
      </c>
      <c r="N369" s="7" t="n">
        <v>46062</v>
      </c>
      <c r="O369" s="6" t="str">
        <f aca="false">IF(F369="Serious",15,"N/A")</f>
        <v>N/A</v>
      </c>
      <c r="P369" s="6" t="n">
        <f aca="false">N369-B369</f>
        <v>7</v>
      </c>
      <c r="Q369" s="6" t="str">
        <f aca="false">IF(F369="Serious",IF(P369&lt;=O369,"Yes","No"),"N/A")</f>
        <v>N/A</v>
      </c>
      <c r="R369" s="6" t="str">
        <f aca="false">IF(AND(I369="Yes",L369=""),Dashboard!$B$2-K369,"")</f>
        <v/>
      </c>
    </row>
    <row r="370" customFormat="false" ht="15" hidden="false" customHeight="false" outlineLevel="0" collapsed="false">
      <c r="A370" s="6" t="s">
        <v>467</v>
      </c>
      <c r="B370" s="7" t="n">
        <v>45732</v>
      </c>
      <c r="C370" s="6" t="s">
        <v>73</v>
      </c>
      <c r="D370" s="6" t="s">
        <v>85</v>
      </c>
      <c r="E370" s="6" t="s">
        <v>86</v>
      </c>
      <c r="F370" s="6" t="s">
        <v>52</v>
      </c>
      <c r="G370" s="6" t="s">
        <v>66</v>
      </c>
      <c r="H370" s="6" t="s">
        <v>42</v>
      </c>
      <c r="I370" s="6" t="s">
        <v>61</v>
      </c>
      <c r="J370" s="6" t="s">
        <v>74</v>
      </c>
      <c r="K370" s="7" t="n">
        <v>45739</v>
      </c>
      <c r="L370" s="7" t="n">
        <v>45760</v>
      </c>
      <c r="M370" s="6" t="n">
        <f aca="false">IF(AND(K370&lt;&gt;"",L370&lt;&gt;""),L370-K370,"")</f>
        <v>21</v>
      </c>
      <c r="N370" s="7" t="n">
        <v>45767</v>
      </c>
      <c r="O370" s="6" t="str">
        <f aca="false">IF(F370="Serious",15,"N/A")</f>
        <v>N/A</v>
      </c>
      <c r="P370" s="6" t="n">
        <f aca="false">N370-B370</f>
        <v>35</v>
      </c>
      <c r="Q370" s="6" t="str">
        <f aca="false">IF(F370="Serious",IF(P370&lt;=O370,"Yes","No"),"N/A")</f>
        <v>N/A</v>
      </c>
      <c r="R370" s="6" t="str">
        <f aca="false">IF(AND(I370="Yes",L370=""),Dashboard!$B$2-K370,"")</f>
        <v/>
      </c>
    </row>
    <row r="371" customFormat="false" ht="15" hidden="false" customHeight="false" outlineLevel="0" collapsed="false">
      <c r="A371" s="6" t="s">
        <v>468</v>
      </c>
      <c r="B371" s="7" t="n">
        <v>45818</v>
      </c>
      <c r="C371" s="6" t="s">
        <v>64</v>
      </c>
      <c r="D371" s="6" t="s">
        <v>57</v>
      </c>
      <c r="E371" s="6" t="s">
        <v>94</v>
      </c>
      <c r="F371" s="6" t="s">
        <v>52</v>
      </c>
      <c r="G371" s="6" t="s">
        <v>41</v>
      </c>
      <c r="H371" s="6" t="s">
        <v>54</v>
      </c>
      <c r="I371" s="6" t="s">
        <v>61</v>
      </c>
      <c r="J371" s="6" t="s">
        <v>126</v>
      </c>
      <c r="K371" s="7" t="n">
        <v>45821</v>
      </c>
      <c r="L371" s="7" t="n">
        <v>45852</v>
      </c>
      <c r="M371" s="6" t="n">
        <f aca="false">IF(AND(K371&lt;&gt;"",L371&lt;&gt;""),L371-K371,"")</f>
        <v>31</v>
      </c>
      <c r="N371" s="7" t="n">
        <v>45873</v>
      </c>
      <c r="O371" s="6" t="str">
        <f aca="false">IF(F371="Serious",15,"N/A")</f>
        <v>N/A</v>
      </c>
      <c r="P371" s="6" t="n">
        <f aca="false">N371-B371</f>
        <v>55</v>
      </c>
      <c r="Q371" s="6" t="str">
        <f aca="false">IF(F371="Serious",IF(P371&lt;=O371,"Yes","No"),"N/A")</f>
        <v>N/A</v>
      </c>
      <c r="R371" s="6" t="str">
        <f aca="false">IF(AND(I371="Yes",L371=""),Dashboard!$B$2-K371,"")</f>
        <v/>
      </c>
    </row>
    <row r="372" customFormat="false" ht="15" hidden="false" customHeight="false" outlineLevel="0" collapsed="false">
      <c r="A372" s="6" t="s">
        <v>469</v>
      </c>
      <c r="B372" s="7" t="n">
        <v>46040</v>
      </c>
      <c r="C372" s="6" t="s">
        <v>37</v>
      </c>
      <c r="D372" s="6" t="s">
        <v>85</v>
      </c>
      <c r="E372" s="6" t="s">
        <v>86</v>
      </c>
      <c r="F372" s="6" t="s">
        <v>40</v>
      </c>
      <c r="G372" s="6" t="s">
        <v>53</v>
      </c>
      <c r="H372" s="6" t="s">
        <v>42</v>
      </c>
      <c r="I372" s="6" t="s">
        <v>61</v>
      </c>
      <c r="J372" s="6" t="s">
        <v>89</v>
      </c>
      <c r="K372" s="7" t="n">
        <v>46045</v>
      </c>
      <c r="L372" s="7" t="n">
        <v>46069</v>
      </c>
      <c r="M372" s="6" t="n">
        <f aca="false">IF(AND(K372&lt;&gt;"",L372&lt;&gt;""),L372-K372,"")</f>
        <v>24</v>
      </c>
      <c r="N372" s="7" t="n">
        <v>46045</v>
      </c>
      <c r="O372" s="6" t="n">
        <f aca="false">IF(F372="Serious",15,"N/A")</f>
        <v>15</v>
      </c>
      <c r="P372" s="6" t="n">
        <f aca="false">N372-B372</f>
        <v>5</v>
      </c>
      <c r="Q372" s="6" t="str">
        <f aca="false">IF(F372="Serious",IF(P372&lt;=O372,"Yes","No"),"N/A")</f>
        <v>Yes</v>
      </c>
      <c r="R372" s="6" t="str">
        <f aca="false">IF(AND(I372="Yes",L372=""),Dashboard!$B$2-K372,"")</f>
        <v/>
      </c>
    </row>
    <row r="373" customFormat="false" ht="15" hidden="false" customHeight="false" outlineLevel="0" collapsed="false">
      <c r="A373" s="6" t="s">
        <v>470</v>
      </c>
      <c r="B373" s="7" t="n">
        <v>46080</v>
      </c>
      <c r="C373" s="6" t="s">
        <v>64</v>
      </c>
      <c r="D373" s="6" t="s">
        <v>82</v>
      </c>
      <c r="E373" s="6" t="s">
        <v>116</v>
      </c>
      <c r="F373" s="6" t="s">
        <v>40</v>
      </c>
      <c r="G373" s="6" t="s">
        <v>47</v>
      </c>
      <c r="H373" s="6" t="s">
        <v>60</v>
      </c>
      <c r="I373" s="6" t="s">
        <v>61</v>
      </c>
      <c r="J373" s="6" t="s">
        <v>126</v>
      </c>
      <c r="K373" s="7" t="n">
        <v>46090</v>
      </c>
      <c r="L373" s="6"/>
      <c r="M373" s="6" t="str">
        <f aca="false">IF(AND(K373&lt;&gt;"",L373&lt;&gt;""),L373-K373,"")</f>
        <v/>
      </c>
      <c r="N373" s="7" t="n">
        <v>46110</v>
      </c>
      <c r="O373" s="6" t="n">
        <f aca="false">IF(F373="Serious",15,"N/A")</f>
        <v>15</v>
      </c>
      <c r="P373" s="6" t="n">
        <f aca="false">N373-B373</f>
        <v>30</v>
      </c>
      <c r="Q373" s="6" t="str">
        <f aca="false">IF(F373="Serious",IF(P373&lt;=O373,"Yes","No"),"N/A")</f>
        <v>No</v>
      </c>
      <c r="R373" s="6" t="n">
        <f aca="false">IF(AND(I373="Yes",L373=""),Dashboard!$B$2-K373,"")</f>
        <v>124</v>
      </c>
    </row>
    <row r="374" customFormat="false" ht="15" hidden="false" customHeight="false" outlineLevel="0" collapsed="false">
      <c r="A374" s="6" t="s">
        <v>471</v>
      </c>
      <c r="B374" s="7" t="n">
        <v>46130</v>
      </c>
      <c r="C374" s="6" t="s">
        <v>64</v>
      </c>
      <c r="D374" s="6" t="s">
        <v>45</v>
      </c>
      <c r="E374" s="6" t="s">
        <v>167</v>
      </c>
      <c r="F374" s="6" t="s">
        <v>52</v>
      </c>
      <c r="G374" s="6" t="s">
        <v>53</v>
      </c>
      <c r="H374" s="6" t="s">
        <v>60</v>
      </c>
      <c r="I374" s="6" t="s">
        <v>61</v>
      </c>
      <c r="J374" s="6" t="s">
        <v>62</v>
      </c>
      <c r="K374" s="7" t="n">
        <v>46136</v>
      </c>
      <c r="L374" s="7" t="n">
        <v>46157</v>
      </c>
      <c r="M374" s="6" t="n">
        <f aca="false">IF(AND(K374&lt;&gt;"",L374&lt;&gt;""),L374-K374,"")</f>
        <v>21</v>
      </c>
      <c r="N374" s="7" t="n">
        <v>46141</v>
      </c>
      <c r="O374" s="6" t="str">
        <f aca="false">IF(F374="Serious",15,"N/A")</f>
        <v>N/A</v>
      </c>
      <c r="P374" s="6" t="n">
        <f aca="false">N374-B374</f>
        <v>11</v>
      </c>
      <c r="Q374" s="6" t="str">
        <f aca="false">IF(F374="Serious",IF(P374&lt;=O374,"Yes","No"),"N/A")</f>
        <v>N/A</v>
      </c>
      <c r="R374" s="6" t="str">
        <f aca="false">IF(AND(I374="Yes",L374=""),Dashboard!$B$2-K374,"")</f>
        <v/>
      </c>
    </row>
    <row r="375" customFormat="false" ht="15" hidden="false" customHeight="false" outlineLevel="0" collapsed="false">
      <c r="A375" s="6" t="s">
        <v>472</v>
      </c>
      <c r="B375" s="7" t="n">
        <v>45949</v>
      </c>
      <c r="C375" s="6" t="s">
        <v>64</v>
      </c>
      <c r="D375" s="6" t="s">
        <v>45</v>
      </c>
      <c r="E375" s="6" t="s">
        <v>46</v>
      </c>
      <c r="F375" s="6" t="s">
        <v>52</v>
      </c>
      <c r="G375" s="6" t="s">
        <v>59</v>
      </c>
      <c r="H375" s="6" t="s">
        <v>42</v>
      </c>
      <c r="I375" s="6" t="s">
        <v>61</v>
      </c>
      <c r="J375" s="6" t="s">
        <v>76</v>
      </c>
      <c r="K375" s="7" t="n">
        <v>45952</v>
      </c>
      <c r="L375" s="7" t="n">
        <v>45964</v>
      </c>
      <c r="M375" s="6" t="n">
        <f aca="false">IF(AND(K375&lt;&gt;"",L375&lt;&gt;""),L375-K375,"")</f>
        <v>12</v>
      </c>
      <c r="N375" s="7" t="n">
        <v>45974</v>
      </c>
      <c r="O375" s="6" t="str">
        <f aca="false">IF(F375="Serious",15,"N/A")</f>
        <v>N/A</v>
      </c>
      <c r="P375" s="6" t="n">
        <f aca="false">N375-B375</f>
        <v>25</v>
      </c>
      <c r="Q375" s="6" t="str">
        <f aca="false">IF(F375="Serious",IF(P375&lt;=O375,"Yes","No"),"N/A")</f>
        <v>N/A</v>
      </c>
      <c r="R375" s="6" t="str">
        <f aca="false">IF(AND(I375="Yes",L375=""),Dashboard!$B$2-K375,"")</f>
        <v/>
      </c>
    </row>
    <row r="376" customFormat="false" ht="15" hidden="false" customHeight="false" outlineLevel="0" collapsed="false">
      <c r="A376" s="6" t="s">
        <v>473</v>
      </c>
      <c r="B376" s="7" t="n">
        <v>46096</v>
      </c>
      <c r="C376" s="6" t="s">
        <v>56</v>
      </c>
      <c r="D376" s="6" t="s">
        <v>79</v>
      </c>
      <c r="E376" s="6" t="s">
        <v>112</v>
      </c>
      <c r="F376" s="6" t="s">
        <v>40</v>
      </c>
      <c r="G376" s="6" t="s">
        <v>53</v>
      </c>
      <c r="H376" s="6" t="s">
        <v>42</v>
      </c>
      <c r="I376" s="6" t="s">
        <v>61</v>
      </c>
      <c r="J376" s="6" t="s">
        <v>62</v>
      </c>
      <c r="K376" s="7" t="n">
        <v>46099</v>
      </c>
      <c r="L376" s="7" t="n">
        <v>46111</v>
      </c>
      <c r="M376" s="6" t="n">
        <f aca="false">IF(AND(K376&lt;&gt;"",L376&lt;&gt;""),L376-K376,"")</f>
        <v>12</v>
      </c>
      <c r="N376" s="7" t="n">
        <v>46105</v>
      </c>
      <c r="O376" s="6" t="n">
        <f aca="false">IF(F376="Serious",15,"N/A")</f>
        <v>15</v>
      </c>
      <c r="P376" s="6" t="n">
        <f aca="false">N376-B376</f>
        <v>9</v>
      </c>
      <c r="Q376" s="6" t="str">
        <f aca="false">IF(F376="Serious",IF(P376&lt;=O376,"Yes","No"),"N/A")</f>
        <v>Yes</v>
      </c>
      <c r="R376" s="6" t="str">
        <f aca="false">IF(AND(I376="Yes",L376=""),Dashboard!$B$2-K376,"")</f>
        <v/>
      </c>
    </row>
    <row r="377" customFormat="false" ht="15" hidden="false" customHeight="false" outlineLevel="0" collapsed="false">
      <c r="A377" s="6" t="s">
        <v>474</v>
      </c>
      <c r="B377" s="7" t="n">
        <v>46025</v>
      </c>
      <c r="C377" s="6" t="s">
        <v>73</v>
      </c>
      <c r="D377" s="6" t="s">
        <v>69</v>
      </c>
      <c r="E377" s="6" t="s">
        <v>118</v>
      </c>
      <c r="F377" s="6" t="s">
        <v>40</v>
      </c>
      <c r="G377" s="6" t="s">
        <v>47</v>
      </c>
      <c r="H377" s="6" t="s">
        <v>54</v>
      </c>
      <c r="I377" s="6" t="s">
        <v>43</v>
      </c>
      <c r="J377" s="6"/>
      <c r="K377" s="6"/>
      <c r="L377" s="6"/>
      <c r="M377" s="6" t="str">
        <f aca="false">IF(AND(K377&lt;&gt;"",L377&lt;&gt;""),L377-K377,"")</f>
        <v/>
      </c>
      <c r="N377" s="7" t="n">
        <v>46035</v>
      </c>
      <c r="O377" s="6" t="n">
        <f aca="false">IF(F377="Serious",15,"N/A")</f>
        <v>15</v>
      </c>
      <c r="P377" s="6" t="n">
        <f aca="false">N377-B377</f>
        <v>10</v>
      </c>
      <c r="Q377" s="6" t="str">
        <f aca="false">IF(F377="Serious",IF(P377&lt;=O377,"Yes","No"),"N/A")</f>
        <v>Yes</v>
      </c>
      <c r="R377" s="6" t="str">
        <f aca="false">IF(AND(I377="Yes",L377=""),Dashboard!$B$2-K377,"")</f>
        <v/>
      </c>
    </row>
    <row r="378" customFormat="false" ht="15" hidden="false" customHeight="false" outlineLevel="0" collapsed="false">
      <c r="A378" s="6" t="s">
        <v>475</v>
      </c>
      <c r="B378" s="7" t="n">
        <v>45859</v>
      </c>
      <c r="C378" s="6" t="s">
        <v>73</v>
      </c>
      <c r="D378" s="6" t="s">
        <v>45</v>
      </c>
      <c r="E378" s="6" t="s">
        <v>91</v>
      </c>
      <c r="F378" s="6" t="s">
        <v>40</v>
      </c>
      <c r="G378" s="6" t="s">
        <v>53</v>
      </c>
      <c r="H378" s="6" t="s">
        <v>42</v>
      </c>
      <c r="I378" s="6" t="s">
        <v>61</v>
      </c>
      <c r="J378" s="6" t="s">
        <v>76</v>
      </c>
      <c r="K378" s="7" t="n">
        <v>45869</v>
      </c>
      <c r="L378" s="7" t="n">
        <v>45888</v>
      </c>
      <c r="M378" s="6" t="n">
        <f aca="false">IF(AND(K378&lt;&gt;"",L378&lt;&gt;""),L378-K378,"")</f>
        <v>19</v>
      </c>
      <c r="N378" s="7" t="n">
        <v>45883</v>
      </c>
      <c r="O378" s="6" t="n">
        <f aca="false">IF(F378="Serious",15,"N/A")</f>
        <v>15</v>
      </c>
      <c r="P378" s="6" t="n">
        <f aca="false">N378-B378</f>
        <v>24</v>
      </c>
      <c r="Q378" s="6" t="str">
        <f aca="false">IF(F378="Serious",IF(P378&lt;=O378,"Yes","No"),"N/A")</f>
        <v>No</v>
      </c>
      <c r="R378" s="6" t="str">
        <f aca="false">IF(AND(I378="Yes",L378=""),Dashboard!$B$2-K378,"")</f>
        <v/>
      </c>
    </row>
    <row r="379" customFormat="false" ht="15" hidden="false" customHeight="false" outlineLevel="0" collapsed="false">
      <c r="A379" s="6" t="s">
        <v>476</v>
      </c>
      <c r="B379" s="7" t="n">
        <v>45924</v>
      </c>
      <c r="C379" s="6" t="s">
        <v>64</v>
      </c>
      <c r="D379" s="6" t="s">
        <v>85</v>
      </c>
      <c r="E379" s="6" t="s">
        <v>109</v>
      </c>
      <c r="F379" s="6" t="s">
        <v>52</v>
      </c>
      <c r="G379" s="6" t="s">
        <v>53</v>
      </c>
      <c r="H379" s="6" t="s">
        <v>60</v>
      </c>
      <c r="I379" s="6" t="s">
        <v>43</v>
      </c>
      <c r="J379" s="6"/>
      <c r="K379" s="6"/>
      <c r="L379" s="6"/>
      <c r="M379" s="6" t="str">
        <f aca="false">IF(AND(K379&lt;&gt;"",L379&lt;&gt;""),L379-K379,"")</f>
        <v/>
      </c>
      <c r="N379" s="7" t="n">
        <v>45966</v>
      </c>
      <c r="O379" s="6" t="str">
        <f aca="false">IF(F379="Serious",15,"N/A")</f>
        <v>N/A</v>
      </c>
      <c r="P379" s="6" t="n">
        <f aca="false">N379-B379</f>
        <v>42</v>
      </c>
      <c r="Q379" s="6" t="str">
        <f aca="false">IF(F379="Serious",IF(P379&lt;=O379,"Yes","No"),"N/A")</f>
        <v>N/A</v>
      </c>
      <c r="R379" s="6" t="str">
        <f aca="false">IF(AND(I379="Yes",L379=""),Dashboard!$B$2-K379,"")</f>
        <v/>
      </c>
    </row>
    <row r="380" customFormat="false" ht="15" hidden="false" customHeight="false" outlineLevel="0" collapsed="false">
      <c r="A380" s="6" t="s">
        <v>477</v>
      </c>
      <c r="B380" s="7" t="n">
        <v>45955</v>
      </c>
      <c r="C380" s="6" t="s">
        <v>56</v>
      </c>
      <c r="D380" s="6" t="s">
        <v>69</v>
      </c>
      <c r="E380" s="6" t="s">
        <v>118</v>
      </c>
      <c r="F380" s="6" t="s">
        <v>52</v>
      </c>
      <c r="G380" s="6" t="s">
        <v>47</v>
      </c>
      <c r="H380" s="6" t="s">
        <v>42</v>
      </c>
      <c r="I380" s="6" t="s">
        <v>43</v>
      </c>
      <c r="J380" s="6"/>
      <c r="K380" s="6"/>
      <c r="L380" s="6"/>
      <c r="M380" s="6" t="str">
        <f aca="false">IF(AND(K380&lt;&gt;"",L380&lt;&gt;""),L380-K380,"")</f>
        <v/>
      </c>
      <c r="N380" s="7" t="n">
        <v>46011</v>
      </c>
      <c r="O380" s="6" t="str">
        <f aca="false">IF(F380="Serious",15,"N/A")</f>
        <v>N/A</v>
      </c>
      <c r="P380" s="6" t="n">
        <f aca="false">N380-B380</f>
        <v>56</v>
      </c>
      <c r="Q380" s="6" t="str">
        <f aca="false">IF(F380="Serious",IF(P380&lt;=O380,"Yes","No"),"N/A")</f>
        <v>N/A</v>
      </c>
      <c r="R380" s="6" t="str">
        <f aca="false">IF(AND(I380="Yes",L380=""),Dashboard!$B$2-K380,"")</f>
        <v/>
      </c>
    </row>
    <row r="381" customFormat="false" ht="15" hidden="false" customHeight="false" outlineLevel="0" collapsed="false">
      <c r="A381" s="6" t="s">
        <v>478</v>
      </c>
      <c r="B381" s="7" t="n">
        <v>45827</v>
      </c>
      <c r="C381" s="6" t="s">
        <v>64</v>
      </c>
      <c r="D381" s="6" t="s">
        <v>82</v>
      </c>
      <c r="E381" s="6" t="s">
        <v>83</v>
      </c>
      <c r="F381" s="6" t="s">
        <v>40</v>
      </c>
      <c r="G381" s="6" t="s">
        <v>47</v>
      </c>
      <c r="H381" s="6" t="s">
        <v>42</v>
      </c>
      <c r="I381" s="6" t="s">
        <v>43</v>
      </c>
      <c r="J381" s="6"/>
      <c r="K381" s="6"/>
      <c r="L381" s="6"/>
      <c r="M381" s="6" t="str">
        <f aca="false">IF(AND(K381&lt;&gt;"",L381&lt;&gt;""),L381-K381,"")</f>
        <v/>
      </c>
      <c r="N381" s="7" t="n">
        <v>45840</v>
      </c>
      <c r="O381" s="6" t="n">
        <f aca="false">IF(F381="Serious",15,"N/A")</f>
        <v>15</v>
      </c>
      <c r="P381" s="6" t="n">
        <f aca="false">N381-B381</f>
        <v>13</v>
      </c>
      <c r="Q381" s="6" t="str">
        <f aca="false">IF(F381="Serious",IF(P381&lt;=O381,"Yes","No"),"N/A")</f>
        <v>Yes</v>
      </c>
      <c r="R381" s="6" t="str">
        <f aca="false">IF(AND(I381="Yes",L381=""),Dashboard!$B$2-K381,"")</f>
        <v/>
      </c>
    </row>
    <row r="382" customFormat="false" ht="15" hidden="false" customHeight="false" outlineLevel="0" collapsed="false">
      <c r="A382" s="6" t="s">
        <v>479</v>
      </c>
      <c r="B382" s="7" t="n">
        <v>46153</v>
      </c>
      <c r="C382" s="6" t="s">
        <v>73</v>
      </c>
      <c r="D382" s="6" t="s">
        <v>79</v>
      </c>
      <c r="E382" s="6" t="s">
        <v>143</v>
      </c>
      <c r="F382" s="6" t="s">
        <v>52</v>
      </c>
      <c r="G382" s="6" t="s">
        <v>53</v>
      </c>
      <c r="H382" s="6" t="s">
        <v>60</v>
      </c>
      <c r="I382" s="6" t="s">
        <v>61</v>
      </c>
      <c r="J382" s="6" t="s">
        <v>126</v>
      </c>
      <c r="K382" s="7" t="n">
        <v>46157</v>
      </c>
      <c r="L382" s="7" t="n">
        <v>46183</v>
      </c>
      <c r="M382" s="6" t="n">
        <f aca="false">IF(AND(K382&lt;&gt;"",L382&lt;&gt;""),L382-K382,"")</f>
        <v>26</v>
      </c>
      <c r="N382" s="7" t="n">
        <v>46182</v>
      </c>
      <c r="O382" s="6" t="str">
        <f aca="false">IF(F382="Serious",15,"N/A")</f>
        <v>N/A</v>
      </c>
      <c r="P382" s="6" t="n">
        <f aca="false">N382-B382</f>
        <v>29</v>
      </c>
      <c r="Q382" s="6" t="str">
        <f aca="false">IF(F382="Serious",IF(P382&lt;=O382,"Yes","No"),"N/A")</f>
        <v>N/A</v>
      </c>
      <c r="R382" s="6" t="str">
        <f aca="false">IF(AND(I382="Yes",L382=""),Dashboard!$B$2-K382,"")</f>
        <v/>
      </c>
    </row>
    <row r="383" customFormat="false" ht="15" hidden="false" customHeight="false" outlineLevel="0" collapsed="false">
      <c r="A383" s="6" t="s">
        <v>480</v>
      </c>
      <c r="B383" s="7" t="n">
        <v>46138</v>
      </c>
      <c r="C383" s="6" t="s">
        <v>49</v>
      </c>
      <c r="D383" s="6" t="s">
        <v>79</v>
      </c>
      <c r="E383" s="6" t="s">
        <v>80</v>
      </c>
      <c r="F383" s="6" t="s">
        <v>52</v>
      </c>
      <c r="G383" s="6" t="s">
        <v>59</v>
      </c>
      <c r="H383" s="6" t="s">
        <v>42</v>
      </c>
      <c r="I383" s="6" t="s">
        <v>61</v>
      </c>
      <c r="J383" s="6" t="s">
        <v>62</v>
      </c>
      <c r="K383" s="7" t="n">
        <v>46143</v>
      </c>
      <c r="L383" s="7" t="n">
        <v>46161</v>
      </c>
      <c r="M383" s="6" t="n">
        <f aca="false">IF(AND(K383&lt;&gt;"",L383&lt;&gt;""),L383-K383,"")</f>
        <v>18</v>
      </c>
      <c r="N383" s="7" t="n">
        <v>46167</v>
      </c>
      <c r="O383" s="6" t="str">
        <f aca="false">IF(F383="Serious",15,"N/A")</f>
        <v>N/A</v>
      </c>
      <c r="P383" s="6" t="n">
        <f aca="false">N383-B383</f>
        <v>29</v>
      </c>
      <c r="Q383" s="6" t="str">
        <f aca="false">IF(F383="Serious",IF(P383&lt;=O383,"Yes","No"),"N/A")</f>
        <v>N/A</v>
      </c>
      <c r="R383" s="6" t="str">
        <f aca="false">IF(AND(I383="Yes",L383=""),Dashboard!$B$2-K383,"")</f>
        <v/>
      </c>
    </row>
    <row r="384" customFormat="false" ht="15" hidden="false" customHeight="false" outlineLevel="0" collapsed="false">
      <c r="A384" s="6" t="s">
        <v>481</v>
      </c>
      <c r="B384" s="7" t="n">
        <v>46045</v>
      </c>
      <c r="C384" s="6" t="s">
        <v>73</v>
      </c>
      <c r="D384" s="6" t="s">
        <v>50</v>
      </c>
      <c r="E384" s="6" t="s">
        <v>138</v>
      </c>
      <c r="F384" s="6" t="s">
        <v>52</v>
      </c>
      <c r="G384" s="6" t="s">
        <v>59</v>
      </c>
      <c r="H384" s="6" t="s">
        <v>54</v>
      </c>
      <c r="I384" s="6" t="s">
        <v>61</v>
      </c>
      <c r="J384" s="6" t="s">
        <v>62</v>
      </c>
      <c r="K384" s="7" t="n">
        <v>46051</v>
      </c>
      <c r="L384" s="7" t="n">
        <v>46066</v>
      </c>
      <c r="M384" s="6" t="n">
        <f aca="false">IF(AND(K384&lt;&gt;"",L384&lt;&gt;""),L384-K384,"")</f>
        <v>15</v>
      </c>
      <c r="N384" s="7" t="n">
        <v>46088</v>
      </c>
      <c r="O384" s="6" t="str">
        <f aca="false">IF(F384="Serious",15,"N/A")</f>
        <v>N/A</v>
      </c>
      <c r="P384" s="6" t="n">
        <f aca="false">N384-B384</f>
        <v>43</v>
      </c>
      <c r="Q384" s="6" t="str">
        <f aca="false">IF(F384="Serious",IF(P384&lt;=O384,"Yes","No"),"N/A")</f>
        <v>N/A</v>
      </c>
      <c r="R384" s="6" t="str">
        <f aca="false">IF(AND(I384="Yes",L384=""),Dashboard!$B$2-K384,"")</f>
        <v/>
      </c>
    </row>
    <row r="385" customFormat="false" ht="15" hidden="false" customHeight="false" outlineLevel="0" collapsed="false">
      <c r="A385" s="6" t="s">
        <v>482</v>
      </c>
      <c r="B385" s="7" t="n">
        <v>45664</v>
      </c>
      <c r="C385" s="6" t="s">
        <v>64</v>
      </c>
      <c r="D385" s="6" t="s">
        <v>82</v>
      </c>
      <c r="E385" s="6" t="s">
        <v>83</v>
      </c>
      <c r="F385" s="6" t="s">
        <v>40</v>
      </c>
      <c r="G385" s="6" t="s">
        <v>53</v>
      </c>
      <c r="H385" s="6" t="s">
        <v>42</v>
      </c>
      <c r="I385" s="6" t="s">
        <v>61</v>
      </c>
      <c r="J385" s="6" t="s">
        <v>98</v>
      </c>
      <c r="K385" s="7" t="n">
        <v>45667</v>
      </c>
      <c r="L385" s="7" t="n">
        <v>45690</v>
      </c>
      <c r="M385" s="6" t="n">
        <f aca="false">IF(AND(K385&lt;&gt;"",L385&lt;&gt;""),L385-K385,"")</f>
        <v>23</v>
      </c>
      <c r="N385" s="7" t="n">
        <v>45669</v>
      </c>
      <c r="O385" s="6" t="n">
        <f aca="false">IF(F385="Serious",15,"N/A")</f>
        <v>15</v>
      </c>
      <c r="P385" s="6" t="n">
        <f aca="false">N385-B385</f>
        <v>5</v>
      </c>
      <c r="Q385" s="6" t="str">
        <f aca="false">IF(F385="Serious",IF(P385&lt;=O385,"Yes","No"),"N/A")</f>
        <v>Yes</v>
      </c>
      <c r="R385" s="6" t="str">
        <f aca="false">IF(AND(I385="Yes",L385=""),Dashboard!$B$2-K385,"")</f>
        <v/>
      </c>
    </row>
    <row r="386" customFormat="false" ht="15" hidden="false" customHeight="false" outlineLevel="0" collapsed="false">
      <c r="A386" s="6" t="s">
        <v>483</v>
      </c>
      <c r="B386" s="7" t="n">
        <v>46082</v>
      </c>
      <c r="C386" s="6" t="s">
        <v>73</v>
      </c>
      <c r="D386" s="6" t="s">
        <v>45</v>
      </c>
      <c r="E386" s="6" t="s">
        <v>167</v>
      </c>
      <c r="F386" s="6" t="s">
        <v>52</v>
      </c>
      <c r="G386" s="6" t="s">
        <v>59</v>
      </c>
      <c r="H386" s="6" t="s">
        <v>42</v>
      </c>
      <c r="I386" s="6" t="s">
        <v>43</v>
      </c>
      <c r="J386" s="6"/>
      <c r="K386" s="6"/>
      <c r="L386" s="6"/>
      <c r="M386" s="6" t="str">
        <f aca="false">IF(AND(K386&lt;&gt;"",L386&lt;&gt;""),L386-K386,"")</f>
        <v/>
      </c>
      <c r="N386" s="7" t="n">
        <v>46113</v>
      </c>
      <c r="O386" s="6" t="str">
        <f aca="false">IF(F386="Serious",15,"N/A")</f>
        <v>N/A</v>
      </c>
      <c r="P386" s="6" t="n">
        <f aca="false">N386-B386</f>
        <v>31</v>
      </c>
      <c r="Q386" s="6" t="str">
        <f aca="false">IF(F386="Serious",IF(P386&lt;=O386,"Yes","No"),"N/A")</f>
        <v>N/A</v>
      </c>
      <c r="R386" s="6" t="str">
        <f aca="false">IF(AND(I386="Yes",L386=""),Dashboard!$B$2-K386,"")</f>
        <v/>
      </c>
    </row>
    <row r="387" customFormat="false" ht="15" hidden="false" customHeight="false" outlineLevel="0" collapsed="false">
      <c r="A387" s="6" t="s">
        <v>484</v>
      </c>
      <c r="B387" s="7" t="n">
        <v>45680</v>
      </c>
      <c r="C387" s="6" t="s">
        <v>56</v>
      </c>
      <c r="D387" s="6" t="s">
        <v>79</v>
      </c>
      <c r="E387" s="6" t="s">
        <v>143</v>
      </c>
      <c r="F387" s="6" t="s">
        <v>52</v>
      </c>
      <c r="G387" s="6" t="s">
        <v>53</v>
      </c>
      <c r="H387" s="6" t="s">
        <v>42</v>
      </c>
      <c r="I387" s="6" t="s">
        <v>61</v>
      </c>
      <c r="J387" s="6" t="s">
        <v>76</v>
      </c>
      <c r="K387" s="7" t="n">
        <v>45683</v>
      </c>
      <c r="L387" s="7" t="n">
        <v>45693</v>
      </c>
      <c r="M387" s="6" t="n">
        <f aca="false">IF(AND(K387&lt;&gt;"",L387&lt;&gt;""),L387-K387,"")</f>
        <v>10</v>
      </c>
      <c r="N387" s="7" t="n">
        <v>45696</v>
      </c>
      <c r="O387" s="6" t="str">
        <f aca="false">IF(F387="Serious",15,"N/A")</f>
        <v>N/A</v>
      </c>
      <c r="P387" s="6" t="n">
        <f aca="false">N387-B387</f>
        <v>16</v>
      </c>
      <c r="Q387" s="6" t="str">
        <f aca="false">IF(F387="Serious",IF(P387&lt;=O387,"Yes","No"),"N/A")</f>
        <v>N/A</v>
      </c>
      <c r="R387" s="6" t="str">
        <f aca="false">IF(AND(I387="Yes",L387=""),Dashboard!$B$2-K387,"")</f>
        <v/>
      </c>
    </row>
    <row r="388" customFormat="false" ht="15" hidden="false" customHeight="false" outlineLevel="0" collapsed="false">
      <c r="A388" s="6" t="s">
        <v>485</v>
      </c>
      <c r="B388" s="7" t="n">
        <v>46187</v>
      </c>
      <c r="C388" s="6" t="s">
        <v>49</v>
      </c>
      <c r="D388" s="6" t="s">
        <v>50</v>
      </c>
      <c r="E388" s="6" t="s">
        <v>138</v>
      </c>
      <c r="F388" s="6" t="s">
        <v>52</v>
      </c>
      <c r="G388" s="6" t="s">
        <v>41</v>
      </c>
      <c r="H388" s="6" t="s">
        <v>54</v>
      </c>
      <c r="I388" s="6" t="s">
        <v>43</v>
      </c>
      <c r="J388" s="6"/>
      <c r="K388" s="6"/>
      <c r="L388" s="6"/>
      <c r="M388" s="6" t="str">
        <f aca="false">IF(AND(K388&lt;&gt;"",L388&lt;&gt;""),L388-K388,"")</f>
        <v/>
      </c>
      <c r="N388" s="7" t="n">
        <v>46205</v>
      </c>
      <c r="O388" s="6" t="str">
        <f aca="false">IF(F388="Serious",15,"N/A")</f>
        <v>N/A</v>
      </c>
      <c r="P388" s="6" t="n">
        <f aca="false">N388-B388</f>
        <v>18</v>
      </c>
      <c r="Q388" s="6" t="str">
        <f aca="false">IF(F388="Serious",IF(P388&lt;=O388,"Yes","No"),"N/A")</f>
        <v>N/A</v>
      </c>
      <c r="R388" s="6" t="str">
        <f aca="false">IF(AND(I388="Yes",L388=""),Dashboard!$B$2-K388,"")</f>
        <v/>
      </c>
    </row>
    <row r="389" customFormat="false" ht="15" hidden="false" customHeight="false" outlineLevel="0" collapsed="false">
      <c r="A389" s="6" t="s">
        <v>486</v>
      </c>
      <c r="B389" s="7" t="n">
        <v>46117</v>
      </c>
      <c r="C389" s="6" t="s">
        <v>64</v>
      </c>
      <c r="D389" s="6" t="s">
        <v>69</v>
      </c>
      <c r="E389" s="6" t="s">
        <v>70</v>
      </c>
      <c r="F389" s="6" t="s">
        <v>40</v>
      </c>
      <c r="G389" s="6" t="s">
        <v>88</v>
      </c>
      <c r="H389" s="6" t="s">
        <v>42</v>
      </c>
      <c r="I389" s="6" t="s">
        <v>43</v>
      </c>
      <c r="J389" s="6"/>
      <c r="K389" s="6"/>
      <c r="L389" s="6"/>
      <c r="M389" s="6" t="str">
        <f aca="false">IF(AND(K389&lt;&gt;"",L389&lt;&gt;""),L389-K389,"")</f>
        <v/>
      </c>
      <c r="N389" s="7" t="n">
        <v>46121</v>
      </c>
      <c r="O389" s="6" t="n">
        <f aca="false">IF(F389="Serious",15,"N/A")</f>
        <v>15</v>
      </c>
      <c r="P389" s="6" t="n">
        <f aca="false">N389-B389</f>
        <v>4</v>
      </c>
      <c r="Q389" s="6" t="str">
        <f aca="false">IF(F389="Serious",IF(P389&lt;=O389,"Yes","No"),"N/A")</f>
        <v>Yes</v>
      </c>
      <c r="R389" s="6" t="str">
        <f aca="false">IF(AND(I389="Yes",L389=""),Dashboard!$B$2-K389,"")</f>
        <v/>
      </c>
    </row>
    <row r="390" customFormat="false" ht="15" hidden="false" customHeight="false" outlineLevel="0" collapsed="false">
      <c r="A390" s="6" t="s">
        <v>487</v>
      </c>
      <c r="B390" s="7" t="n">
        <v>46181</v>
      </c>
      <c r="C390" s="6" t="s">
        <v>73</v>
      </c>
      <c r="D390" s="6" t="s">
        <v>82</v>
      </c>
      <c r="E390" s="6" t="s">
        <v>193</v>
      </c>
      <c r="F390" s="6" t="s">
        <v>52</v>
      </c>
      <c r="G390" s="6" t="s">
        <v>71</v>
      </c>
      <c r="H390" s="6" t="s">
        <v>42</v>
      </c>
      <c r="I390" s="6" t="s">
        <v>61</v>
      </c>
      <c r="J390" s="6" t="s">
        <v>74</v>
      </c>
      <c r="K390" s="7" t="n">
        <v>46188</v>
      </c>
      <c r="L390" s="7" t="n">
        <v>46191</v>
      </c>
      <c r="M390" s="6" t="n">
        <f aca="false">IF(AND(K390&lt;&gt;"",L390&lt;&gt;""),L390-K390,"")</f>
        <v>3</v>
      </c>
      <c r="N390" s="7" t="n">
        <v>46219</v>
      </c>
      <c r="O390" s="6" t="str">
        <f aca="false">IF(F390="Serious",15,"N/A")</f>
        <v>N/A</v>
      </c>
      <c r="P390" s="6" t="n">
        <f aca="false">N390-B390</f>
        <v>38</v>
      </c>
      <c r="Q390" s="6" t="str">
        <f aca="false">IF(F390="Serious",IF(P390&lt;=O390,"Yes","No"),"N/A")</f>
        <v>N/A</v>
      </c>
      <c r="R390" s="6" t="str">
        <f aca="false">IF(AND(I390="Yes",L390=""),Dashboard!$B$2-K390,"")</f>
        <v/>
      </c>
    </row>
    <row r="391" customFormat="false" ht="15" hidden="false" customHeight="false" outlineLevel="0" collapsed="false">
      <c r="A391" s="6" t="s">
        <v>488</v>
      </c>
      <c r="B391" s="7" t="n">
        <v>46174</v>
      </c>
      <c r="C391" s="6" t="s">
        <v>49</v>
      </c>
      <c r="D391" s="6" t="s">
        <v>82</v>
      </c>
      <c r="E391" s="6" t="s">
        <v>193</v>
      </c>
      <c r="F391" s="6" t="s">
        <v>40</v>
      </c>
      <c r="G391" s="6" t="s">
        <v>59</v>
      </c>
      <c r="H391" s="6" t="s">
        <v>42</v>
      </c>
      <c r="I391" s="6" t="s">
        <v>61</v>
      </c>
      <c r="J391" s="6" t="s">
        <v>76</v>
      </c>
      <c r="K391" s="7" t="n">
        <v>46183</v>
      </c>
      <c r="L391" s="6"/>
      <c r="M391" s="6" t="str">
        <f aca="false">IF(AND(K391&lt;&gt;"",L391&lt;&gt;""),L391-K391,"")</f>
        <v/>
      </c>
      <c r="N391" s="7" t="n">
        <v>46186</v>
      </c>
      <c r="O391" s="6" t="n">
        <f aca="false">IF(F391="Serious",15,"N/A")</f>
        <v>15</v>
      </c>
      <c r="P391" s="6" t="n">
        <f aca="false">N391-B391</f>
        <v>12</v>
      </c>
      <c r="Q391" s="6" t="str">
        <f aca="false">IF(F391="Serious",IF(P391&lt;=O391,"Yes","No"),"N/A")</f>
        <v>Yes</v>
      </c>
      <c r="R391" s="6" t="n">
        <f aca="false">IF(AND(I391="Yes",L391=""),Dashboard!$B$2-K391,"")</f>
        <v>31</v>
      </c>
    </row>
    <row r="392" customFormat="false" ht="15" hidden="false" customHeight="false" outlineLevel="0" collapsed="false">
      <c r="A392" s="6" t="s">
        <v>489</v>
      </c>
      <c r="B392" s="7" t="n">
        <v>45791</v>
      </c>
      <c r="C392" s="6" t="s">
        <v>64</v>
      </c>
      <c r="D392" s="6" t="s">
        <v>85</v>
      </c>
      <c r="E392" s="6" t="s">
        <v>86</v>
      </c>
      <c r="F392" s="6" t="s">
        <v>52</v>
      </c>
      <c r="G392" s="6" t="s">
        <v>41</v>
      </c>
      <c r="H392" s="6" t="s">
        <v>42</v>
      </c>
      <c r="I392" s="6" t="s">
        <v>61</v>
      </c>
      <c r="J392" s="6" t="s">
        <v>62</v>
      </c>
      <c r="K392" s="7" t="n">
        <v>45792</v>
      </c>
      <c r="L392" s="7" t="n">
        <v>45806</v>
      </c>
      <c r="M392" s="6" t="n">
        <f aca="false">IF(AND(K392&lt;&gt;"",L392&lt;&gt;""),L392-K392,"")</f>
        <v>14</v>
      </c>
      <c r="N392" s="7" t="n">
        <v>45847</v>
      </c>
      <c r="O392" s="6" t="str">
        <f aca="false">IF(F392="Serious",15,"N/A")</f>
        <v>N/A</v>
      </c>
      <c r="P392" s="6" t="n">
        <f aca="false">N392-B392</f>
        <v>56</v>
      </c>
      <c r="Q392" s="6" t="str">
        <f aca="false">IF(F392="Serious",IF(P392&lt;=O392,"Yes","No"),"N/A")</f>
        <v>N/A</v>
      </c>
      <c r="R392" s="6" t="str">
        <f aca="false">IF(AND(I392="Yes",L392=""),Dashboard!$B$2-K392,"")</f>
        <v/>
      </c>
    </row>
    <row r="393" customFormat="false" ht="15" hidden="false" customHeight="false" outlineLevel="0" collapsed="false">
      <c r="A393" s="6" t="s">
        <v>490</v>
      </c>
      <c r="B393" s="7" t="n">
        <v>46151</v>
      </c>
      <c r="C393" s="6" t="s">
        <v>49</v>
      </c>
      <c r="D393" s="6" t="s">
        <v>249</v>
      </c>
      <c r="E393" s="6" t="s">
        <v>295</v>
      </c>
      <c r="F393" s="6" t="s">
        <v>52</v>
      </c>
      <c r="G393" s="6" t="s">
        <v>71</v>
      </c>
      <c r="H393" s="6" t="s">
        <v>54</v>
      </c>
      <c r="I393" s="6" t="s">
        <v>61</v>
      </c>
      <c r="J393" s="6" t="s">
        <v>74</v>
      </c>
      <c r="K393" s="7" t="n">
        <v>46154</v>
      </c>
      <c r="L393" s="7" t="n">
        <v>46179</v>
      </c>
      <c r="M393" s="6" t="n">
        <f aca="false">IF(AND(K393&lt;&gt;"",L393&lt;&gt;""),L393-K393,"")</f>
        <v>25</v>
      </c>
      <c r="N393" s="7" t="n">
        <v>46210</v>
      </c>
      <c r="O393" s="6" t="str">
        <f aca="false">IF(F393="Serious",15,"N/A")</f>
        <v>N/A</v>
      </c>
      <c r="P393" s="6" t="n">
        <f aca="false">N393-B393</f>
        <v>59</v>
      </c>
      <c r="Q393" s="6" t="str">
        <f aca="false">IF(F393="Serious",IF(P393&lt;=O393,"Yes","No"),"N/A")</f>
        <v>N/A</v>
      </c>
      <c r="R393" s="6" t="str">
        <f aca="false">IF(AND(I393="Yes",L393=""),Dashboard!$B$2-K393,"")</f>
        <v/>
      </c>
    </row>
    <row r="394" customFormat="false" ht="15" hidden="false" customHeight="false" outlineLevel="0" collapsed="false">
      <c r="A394" s="6" t="s">
        <v>491</v>
      </c>
      <c r="B394" s="7" t="n">
        <v>45743</v>
      </c>
      <c r="C394" s="6" t="s">
        <v>73</v>
      </c>
      <c r="D394" s="6" t="s">
        <v>50</v>
      </c>
      <c r="E394" s="6" t="s">
        <v>51</v>
      </c>
      <c r="F394" s="6" t="s">
        <v>52</v>
      </c>
      <c r="G394" s="6" t="s">
        <v>53</v>
      </c>
      <c r="H394" s="6" t="s">
        <v>42</v>
      </c>
      <c r="I394" s="6" t="s">
        <v>61</v>
      </c>
      <c r="J394" s="6" t="s">
        <v>76</v>
      </c>
      <c r="K394" s="7" t="n">
        <v>45745</v>
      </c>
      <c r="L394" s="7" t="n">
        <v>45758</v>
      </c>
      <c r="M394" s="6" t="n">
        <f aca="false">IF(AND(K394&lt;&gt;"",L394&lt;&gt;""),L394-K394,"")</f>
        <v>13</v>
      </c>
      <c r="N394" s="7" t="n">
        <v>45761</v>
      </c>
      <c r="O394" s="6" t="str">
        <f aca="false">IF(F394="Serious",15,"N/A")</f>
        <v>N/A</v>
      </c>
      <c r="P394" s="6" t="n">
        <f aca="false">N394-B394</f>
        <v>18</v>
      </c>
      <c r="Q394" s="6" t="str">
        <f aca="false">IF(F394="Serious",IF(P394&lt;=O394,"Yes","No"),"N/A")</f>
        <v>N/A</v>
      </c>
      <c r="R394" s="6" t="str">
        <f aca="false">IF(AND(I394="Yes",L394=""),Dashboard!$B$2-K394,"")</f>
        <v/>
      </c>
    </row>
    <row r="395" customFormat="false" ht="15" hidden="false" customHeight="false" outlineLevel="0" collapsed="false">
      <c r="A395" s="6" t="s">
        <v>492</v>
      </c>
      <c r="B395" s="7" t="n">
        <v>45981</v>
      </c>
      <c r="C395" s="6" t="s">
        <v>49</v>
      </c>
      <c r="D395" s="6" t="s">
        <v>249</v>
      </c>
      <c r="E395" s="6" t="s">
        <v>250</v>
      </c>
      <c r="F395" s="6" t="s">
        <v>40</v>
      </c>
      <c r="G395" s="6" t="s">
        <v>66</v>
      </c>
      <c r="H395" s="6" t="s">
        <v>60</v>
      </c>
      <c r="I395" s="6" t="s">
        <v>43</v>
      </c>
      <c r="J395" s="6"/>
      <c r="K395" s="6"/>
      <c r="L395" s="6"/>
      <c r="M395" s="6" t="str">
        <f aca="false">IF(AND(K395&lt;&gt;"",L395&lt;&gt;""),L395-K395,"")</f>
        <v/>
      </c>
      <c r="N395" s="7" t="n">
        <v>45988</v>
      </c>
      <c r="O395" s="6" t="n">
        <f aca="false">IF(F395="Serious",15,"N/A")</f>
        <v>15</v>
      </c>
      <c r="P395" s="6" t="n">
        <f aca="false">N395-B395</f>
        <v>7</v>
      </c>
      <c r="Q395" s="6" t="str">
        <f aca="false">IF(F395="Serious",IF(P395&lt;=O395,"Yes","No"),"N/A")</f>
        <v>Yes</v>
      </c>
      <c r="R395" s="6" t="str">
        <f aca="false">IF(AND(I395="Yes",L395=""),Dashboard!$B$2-K395,"")</f>
        <v/>
      </c>
    </row>
    <row r="396" customFormat="false" ht="15" hidden="false" customHeight="false" outlineLevel="0" collapsed="false">
      <c r="A396" s="6" t="s">
        <v>493</v>
      </c>
      <c r="B396" s="7" t="n">
        <v>45940</v>
      </c>
      <c r="C396" s="6" t="s">
        <v>49</v>
      </c>
      <c r="D396" s="6" t="s">
        <v>57</v>
      </c>
      <c r="E396" s="6" t="s">
        <v>58</v>
      </c>
      <c r="F396" s="6" t="s">
        <v>52</v>
      </c>
      <c r="G396" s="6" t="s">
        <v>47</v>
      </c>
      <c r="H396" s="6" t="s">
        <v>60</v>
      </c>
      <c r="I396" s="6" t="s">
        <v>61</v>
      </c>
      <c r="J396" s="6" t="s">
        <v>74</v>
      </c>
      <c r="K396" s="7" t="n">
        <v>45945</v>
      </c>
      <c r="L396" s="6"/>
      <c r="M396" s="6" t="str">
        <f aca="false">IF(AND(K396&lt;&gt;"",L396&lt;&gt;""),L396-K396,"")</f>
        <v/>
      </c>
      <c r="N396" s="7" t="n">
        <v>45981</v>
      </c>
      <c r="O396" s="6" t="str">
        <f aca="false">IF(F396="Serious",15,"N/A")</f>
        <v>N/A</v>
      </c>
      <c r="P396" s="6" t="n">
        <f aca="false">N396-B396</f>
        <v>41</v>
      </c>
      <c r="Q396" s="6" t="str">
        <f aca="false">IF(F396="Serious",IF(P396&lt;=O396,"Yes","No"),"N/A")</f>
        <v>N/A</v>
      </c>
      <c r="R396" s="6" t="n">
        <f aca="false">IF(AND(I396="Yes",L396=""),Dashboard!$B$2-K396,"")</f>
        <v>269</v>
      </c>
    </row>
    <row r="397" customFormat="false" ht="15" hidden="false" customHeight="false" outlineLevel="0" collapsed="false">
      <c r="A397" s="6" t="s">
        <v>494</v>
      </c>
      <c r="B397" s="7" t="n">
        <v>46010</v>
      </c>
      <c r="C397" s="6" t="s">
        <v>49</v>
      </c>
      <c r="D397" s="6" t="s">
        <v>82</v>
      </c>
      <c r="E397" s="6" t="s">
        <v>193</v>
      </c>
      <c r="F397" s="6" t="s">
        <v>40</v>
      </c>
      <c r="G397" s="6" t="s">
        <v>53</v>
      </c>
      <c r="H397" s="6" t="s">
        <v>42</v>
      </c>
      <c r="I397" s="6" t="s">
        <v>43</v>
      </c>
      <c r="J397" s="6"/>
      <c r="K397" s="6"/>
      <c r="L397" s="6"/>
      <c r="M397" s="6" t="str">
        <f aca="false">IF(AND(K397&lt;&gt;"",L397&lt;&gt;""),L397-K397,"")</f>
        <v/>
      </c>
      <c r="N397" s="7" t="n">
        <v>46020</v>
      </c>
      <c r="O397" s="6" t="n">
        <f aca="false">IF(F397="Serious",15,"N/A")</f>
        <v>15</v>
      </c>
      <c r="P397" s="6" t="n">
        <f aca="false">N397-B397</f>
        <v>10</v>
      </c>
      <c r="Q397" s="6" t="str">
        <f aca="false">IF(F397="Serious",IF(P397&lt;=O397,"Yes","No"),"N/A")</f>
        <v>Yes</v>
      </c>
      <c r="R397" s="6" t="str">
        <f aca="false">IF(AND(I397="Yes",L397=""),Dashboard!$B$2-K397,"")</f>
        <v/>
      </c>
    </row>
    <row r="398" customFormat="false" ht="15" hidden="false" customHeight="false" outlineLevel="0" collapsed="false">
      <c r="A398" s="6" t="s">
        <v>495</v>
      </c>
      <c r="B398" s="7" t="n">
        <v>46068</v>
      </c>
      <c r="C398" s="6" t="s">
        <v>73</v>
      </c>
      <c r="D398" s="6" t="s">
        <v>85</v>
      </c>
      <c r="E398" s="6" t="s">
        <v>86</v>
      </c>
      <c r="F398" s="6" t="s">
        <v>40</v>
      </c>
      <c r="G398" s="6" t="s">
        <v>121</v>
      </c>
      <c r="H398" s="6" t="s">
        <v>60</v>
      </c>
      <c r="I398" s="6" t="s">
        <v>61</v>
      </c>
      <c r="J398" s="6" t="s">
        <v>98</v>
      </c>
      <c r="K398" s="7" t="n">
        <v>46076</v>
      </c>
      <c r="L398" s="6"/>
      <c r="M398" s="6" t="str">
        <f aca="false">IF(AND(K398&lt;&gt;"",L398&lt;&gt;""),L398-K398,"")</f>
        <v/>
      </c>
      <c r="N398" s="7" t="n">
        <v>46071</v>
      </c>
      <c r="O398" s="6" t="n">
        <f aca="false">IF(F398="Serious",15,"N/A")</f>
        <v>15</v>
      </c>
      <c r="P398" s="6" t="n">
        <f aca="false">N398-B398</f>
        <v>3</v>
      </c>
      <c r="Q398" s="6" t="str">
        <f aca="false">IF(F398="Serious",IF(P398&lt;=O398,"Yes","No"),"N/A")</f>
        <v>Yes</v>
      </c>
      <c r="R398" s="6" t="n">
        <f aca="false">IF(AND(I398="Yes",L398=""),Dashboard!$B$2-K398,"")</f>
        <v>138</v>
      </c>
    </row>
    <row r="399" customFormat="false" ht="15" hidden="false" customHeight="false" outlineLevel="0" collapsed="false">
      <c r="A399" s="6" t="s">
        <v>496</v>
      </c>
      <c r="B399" s="7" t="n">
        <v>45927</v>
      </c>
      <c r="C399" s="6" t="s">
        <v>56</v>
      </c>
      <c r="D399" s="6" t="s">
        <v>249</v>
      </c>
      <c r="E399" s="6" t="s">
        <v>250</v>
      </c>
      <c r="F399" s="6" t="s">
        <v>52</v>
      </c>
      <c r="G399" s="6" t="s">
        <v>41</v>
      </c>
      <c r="H399" s="6" t="s">
        <v>54</v>
      </c>
      <c r="I399" s="6" t="s">
        <v>61</v>
      </c>
      <c r="J399" s="6" t="s">
        <v>126</v>
      </c>
      <c r="K399" s="7" t="n">
        <v>45936</v>
      </c>
      <c r="L399" s="7" t="n">
        <v>45973</v>
      </c>
      <c r="M399" s="6" t="n">
        <f aca="false">IF(AND(K399&lt;&gt;"",L399&lt;&gt;""),L399-K399,"")</f>
        <v>37</v>
      </c>
      <c r="N399" s="7" t="n">
        <v>45935</v>
      </c>
      <c r="O399" s="6" t="str">
        <f aca="false">IF(F399="Serious",15,"N/A")</f>
        <v>N/A</v>
      </c>
      <c r="P399" s="6" t="n">
        <f aca="false">N399-B399</f>
        <v>8</v>
      </c>
      <c r="Q399" s="6" t="str">
        <f aca="false">IF(F399="Serious",IF(P399&lt;=O399,"Yes","No"),"N/A")</f>
        <v>N/A</v>
      </c>
      <c r="R399" s="6" t="str">
        <f aca="false">IF(AND(I399="Yes",L399=""),Dashboard!$B$2-K399,"")</f>
        <v/>
      </c>
    </row>
    <row r="400" customFormat="false" ht="15" hidden="false" customHeight="false" outlineLevel="0" collapsed="false">
      <c r="A400" s="6" t="s">
        <v>497</v>
      </c>
      <c r="B400" s="7" t="n">
        <v>45837</v>
      </c>
      <c r="C400" s="6" t="s">
        <v>49</v>
      </c>
      <c r="D400" s="6" t="s">
        <v>69</v>
      </c>
      <c r="E400" s="6" t="s">
        <v>118</v>
      </c>
      <c r="F400" s="6" t="s">
        <v>40</v>
      </c>
      <c r="G400" s="6" t="s">
        <v>66</v>
      </c>
      <c r="H400" s="6" t="s">
        <v>54</v>
      </c>
      <c r="I400" s="6" t="s">
        <v>61</v>
      </c>
      <c r="J400" s="6" t="s">
        <v>89</v>
      </c>
      <c r="K400" s="7" t="n">
        <v>45847</v>
      </c>
      <c r="L400" s="7" t="n">
        <v>45869</v>
      </c>
      <c r="M400" s="6" t="n">
        <f aca="false">IF(AND(K400&lt;&gt;"",L400&lt;&gt;""),L400-K400,"")</f>
        <v>22</v>
      </c>
      <c r="N400" s="7" t="n">
        <v>45849</v>
      </c>
      <c r="O400" s="6" t="n">
        <f aca="false">IF(F400="Serious",15,"N/A")</f>
        <v>15</v>
      </c>
      <c r="P400" s="6" t="n">
        <f aca="false">N400-B400</f>
        <v>12</v>
      </c>
      <c r="Q400" s="6" t="str">
        <f aca="false">IF(F400="Serious",IF(P400&lt;=O400,"Yes","No"),"N/A")</f>
        <v>Yes</v>
      </c>
      <c r="R400" s="6" t="str">
        <f aca="false">IF(AND(I400="Yes",L400=""),Dashboard!$B$2-K400,"")</f>
        <v/>
      </c>
    </row>
    <row r="401" customFormat="false" ht="15" hidden="false" customHeight="false" outlineLevel="0" collapsed="false">
      <c r="A401" s="6" t="s">
        <v>498</v>
      </c>
      <c r="B401" s="7" t="n">
        <v>45694</v>
      </c>
      <c r="C401" s="6" t="s">
        <v>73</v>
      </c>
      <c r="D401" s="6" t="s">
        <v>57</v>
      </c>
      <c r="E401" s="6" t="s">
        <v>94</v>
      </c>
      <c r="F401" s="6" t="s">
        <v>52</v>
      </c>
      <c r="G401" s="6" t="s">
        <v>53</v>
      </c>
      <c r="H401" s="6" t="s">
        <v>60</v>
      </c>
      <c r="I401" s="6" t="s">
        <v>61</v>
      </c>
      <c r="J401" s="6" t="s">
        <v>126</v>
      </c>
      <c r="K401" s="7" t="n">
        <v>45701</v>
      </c>
      <c r="L401" s="7" t="n">
        <v>45709</v>
      </c>
      <c r="M401" s="6" t="n">
        <f aca="false">IF(AND(K401&lt;&gt;"",L401&lt;&gt;""),L401-K401,"")</f>
        <v>8</v>
      </c>
      <c r="N401" s="7" t="n">
        <v>45699</v>
      </c>
      <c r="O401" s="6" t="str">
        <f aca="false">IF(F401="Serious",15,"N/A")</f>
        <v>N/A</v>
      </c>
      <c r="P401" s="6" t="n">
        <f aca="false">N401-B401</f>
        <v>5</v>
      </c>
      <c r="Q401" s="6" t="str">
        <f aca="false">IF(F401="Serious",IF(P401&lt;=O401,"Yes","No"),"N/A")</f>
        <v>N/A</v>
      </c>
      <c r="R401" s="6" t="str">
        <f aca="false">IF(AND(I401="Yes",L401=""),Dashboard!$B$2-K401,"")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5" min="5" style="0" width="10"/>
    <col collapsed="false" customWidth="true" hidden="false" outlineLevel="0" max="6" min="6" style="0" width="14"/>
  </cols>
  <sheetData>
    <row r="1" customFormat="false" ht="19.7" hidden="false" customHeight="false" outlineLevel="0" collapsed="false">
      <c r="A1" s="8" t="s">
        <v>0</v>
      </c>
      <c r="B1" s="8"/>
      <c r="C1" s="8"/>
      <c r="D1" s="8"/>
      <c r="E1" s="8"/>
      <c r="F1" s="8"/>
      <c r="G1" s="8"/>
      <c r="H1" s="8"/>
    </row>
    <row r="2" customFormat="false" ht="15" hidden="false" customHeight="false" outlineLevel="0" collapsed="false">
      <c r="A2" s="9" t="s">
        <v>499</v>
      </c>
      <c r="B2" s="7" t="n">
        <v>46214</v>
      </c>
    </row>
    <row r="4" customFormat="false" ht="18" hidden="false" customHeight="true" outlineLevel="0" collapsed="false">
      <c r="A4" s="10" t="s">
        <v>500</v>
      </c>
      <c r="B4" s="10"/>
      <c r="C4" s="10" t="s">
        <v>501</v>
      </c>
      <c r="D4" s="10"/>
      <c r="E4" s="10" t="s">
        <v>502</v>
      </c>
      <c r="F4" s="10"/>
    </row>
    <row r="5" customFormat="false" ht="30" hidden="false" customHeight="true" outlineLevel="0" collapsed="false">
      <c r="A5" s="11" t="n">
        <f aca="false">COUNTA('Raw Data'!A2:A401)</f>
        <v>400</v>
      </c>
      <c r="B5" s="11"/>
      <c r="C5" s="12" t="n">
        <f aca="false">COUNTIF('Raw Data'!F2:F401,"Serious")/COUNTA('Raw Data'!A2:A401)</f>
        <v>0.2975</v>
      </c>
      <c r="D5" s="12"/>
      <c r="E5" s="11" t="n">
        <f aca="false">COUNTIF('Raw Data'!I2:I401,"Yes")</f>
        <v>242</v>
      </c>
      <c r="F5" s="11"/>
    </row>
    <row r="7" customFormat="false" ht="18" hidden="false" customHeight="true" outlineLevel="0" collapsed="false">
      <c r="A7" s="10" t="s">
        <v>503</v>
      </c>
      <c r="B7" s="10"/>
      <c r="C7" s="10" t="s">
        <v>504</v>
      </c>
      <c r="D7" s="10"/>
      <c r="E7" s="10" t="s">
        <v>505</v>
      </c>
      <c r="F7" s="10"/>
    </row>
    <row r="8" customFormat="false" ht="30" hidden="false" customHeight="true" outlineLevel="0" collapsed="false">
      <c r="A8" s="13" t="n">
        <f aca="false">AVERAGEIF('Raw Data'!M2:M401,"&gt;=0")</f>
        <v>17.4308510638298</v>
      </c>
      <c r="B8" s="13"/>
      <c r="C8" s="12" t="n">
        <f aca="false">COUNT('Raw Data'!M2:M401)/COUNTIF('Raw Data'!I2:I401,"Yes")</f>
        <v>0.776859504132231</v>
      </c>
      <c r="D8" s="12"/>
      <c r="E8" s="12" t="n">
        <f aca="false">COUNTIFS('Raw Data'!F2:F401,"Serious",'Raw Data'!Q2:Q401,"Yes")/COUNTIF('Raw Data'!F2:F401,"Serious")</f>
        <v>0.865546218487395</v>
      </c>
      <c r="F8" s="12"/>
    </row>
    <row r="11" customFormat="false" ht="15" hidden="false" customHeight="false" outlineLevel="0" collapsed="false">
      <c r="A11" s="4" t="s">
        <v>506</v>
      </c>
      <c r="D11" s="4" t="s">
        <v>507</v>
      </c>
    </row>
    <row r="12" customFormat="false" ht="15" hidden="false" customHeight="false" outlineLevel="0" collapsed="false">
      <c r="A12" s="14" t="s">
        <v>508</v>
      </c>
      <c r="B12" s="14" t="s">
        <v>509</v>
      </c>
      <c r="D12" s="14" t="s">
        <v>510</v>
      </c>
      <c r="E12" s="14" t="s">
        <v>509</v>
      </c>
    </row>
    <row r="13" customFormat="false" ht="15" hidden="false" customHeight="false" outlineLevel="0" collapsed="false">
      <c r="A13" s="15" t="n">
        <v>45658</v>
      </c>
      <c r="B13" s="16" t="n">
        <f aca="false">COUNTIFS('Raw Data'!B2:B401,"&gt;="&amp;A13,'Raw Data'!B2:B401,"&lt;"&amp;DATE(2025,2,1))</f>
        <v>26</v>
      </c>
      <c r="D13" s="16" t="s">
        <v>79</v>
      </c>
      <c r="E13" s="16" t="n">
        <f aca="false">COUNTIF('Raw Data'!D2:D401,"Gastrointestinal disorders")</f>
        <v>43</v>
      </c>
    </row>
    <row r="14" customFormat="false" ht="15" hidden="false" customHeight="false" outlineLevel="0" collapsed="false">
      <c r="A14" s="15" t="n">
        <v>45689</v>
      </c>
      <c r="B14" s="16" t="n">
        <f aca="false">COUNTIFS('Raw Data'!B2:B401,"&gt;="&amp;A14,'Raw Data'!B2:B401,"&lt;"&amp;DATE(2025,3,1))</f>
        <v>23</v>
      </c>
      <c r="D14" s="16" t="s">
        <v>45</v>
      </c>
      <c r="E14" s="16" t="n">
        <f aca="false">COUNTIF('Raw Data'!D2:D401,"Skin and subcutaneous tissue disorders")</f>
        <v>41</v>
      </c>
    </row>
    <row r="15" customFormat="false" ht="15" hidden="false" customHeight="false" outlineLevel="0" collapsed="false">
      <c r="A15" s="15" t="n">
        <v>45717</v>
      </c>
      <c r="B15" s="16" t="n">
        <f aca="false">COUNTIFS('Raw Data'!B2:B401,"&gt;="&amp;A15,'Raw Data'!B2:B401,"&lt;"&amp;DATE(2025,4,1))</f>
        <v>22</v>
      </c>
      <c r="D15" s="16" t="s">
        <v>82</v>
      </c>
      <c r="E15" s="16" t="n">
        <f aca="false">COUNTIF('Raw Data'!D2:D401,"Nervous system disorders")</f>
        <v>34</v>
      </c>
    </row>
    <row r="16" customFormat="false" ht="15" hidden="false" customHeight="false" outlineLevel="0" collapsed="false">
      <c r="A16" s="15" t="n">
        <v>45748</v>
      </c>
      <c r="B16" s="16" t="n">
        <f aca="false">COUNTIFS('Raw Data'!B2:B401,"&gt;="&amp;A16,'Raw Data'!B2:B401,"&lt;"&amp;DATE(2025,5,1))</f>
        <v>20</v>
      </c>
      <c r="D16" s="16" t="s">
        <v>57</v>
      </c>
      <c r="E16" s="16" t="n">
        <f aca="false">COUNTIF('Raw Data'!D2:D401,"Immune system disorders")</f>
        <v>47</v>
      </c>
    </row>
    <row r="17" customFormat="false" ht="15" hidden="false" customHeight="false" outlineLevel="0" collapsed="false">
      <c r="A17" s="15" t="n">
        <v>45778</v>
      </c>
      <c r="B17" s="16" t="n">
        <f aca="false">COUNTIFS('Raw Data'!B2:B401,"&gt;="&amp;A17,'Raw Data'!B2:B401,"&lt;"&amp;DATE(2025,6,1))</f>
        <v>26</v>
      </c>
      <c r="D17" s="16" t="s">
        <v>38</v>
      </c>
      <c r="E17" s="16" t="n">
        <f aca="false">COUNTIF('Raw Data'!D2:D401,"Cardiac disorders")</f>
        <v>42</v>
      </c>
    </row>
    <row r="18" customFormat="false" ht="15" hidden="false" customHeight="false" outlineLevel="0" collapsed="false">
      <c r="A18" s="15" t="n">
        <v>45809</v>
      </c>
      <c r="B18" s="16" t="n">
        <f aca="false">COUNTIFS('Raw Data'!B2:B401,"&gt;="&amp;A18,'Raw Data'!B2:B401,"&lt;"&amp;DATE(2025,7,1))</f>
        <v>19</v>
      </c>
      <c r="D18" s="16" t="s">
        <v>249</v>
      </c>
      <c r="E18" s="16" t="n">
        <f aca="false">COUNTIF('Raw Data'!D2:D401,"Injury, poisoning and procedural complications")</f>
        <v>27</v>
      </c>
    </row>
    <row r="19" customFormat="false" ht="15" hidden="false" customHeight="false" outlineLevel="0" collapsed="false">
      <c r="A19" s="15" t="n">
        <v>45839</v>
      </c>
      <c r="B19" s="16" t="n">
        <f aca="false">COUNTIFS('Raw Data'!B2:B401,"&gt;="&amp;A19,'Raw Data'!B2:B401,"&lt;"&amp;DATE(2025,8,1))</f>
        <v>20</v>
      </c>
      <c r="D19" s="16" t="s">
        <v>101</v>
      </c>
      <c r="E19" s="16" t="n">
        <f aca="false">COUNTIF('Raw Data'!D2:D401,"General disorders and administration site conditions")</f>
        <v>48</v>
      </c>
    </row>
    <row r="20" customFormat="false" ht="15" hidden="false" customHeight="false" outlineLevel="0" collapsed="false">
      <c r="A20" s="15" t="n">
        <v>45870</v>
      </c>
      <c r="B20" s="16" t="n">
        <f aca="false">COUNTIFS('Raw Data'!B2:B401,"&gt;="&amp;A20,'Raw Data'!B2:B401,"&lt;"&amp;DATE(2025,9,1))</f>
        <v>19</v>
      </c>
      <c r="D20" s="16" t="s">
        <v>69</v>
      </c>
      <c r="E20" s="16" t="n">
        <f aca="false">COUNTIF('Raw Data'!D2:D401,"Investigations")</f>
        <v>40</v>
      </c>
    </row>
    <row r="21" customFormat="false" ht="15" hidden="false" customHeight="false" outlineLevel="0" collapsed="false">
      <c r="A21" s="15" t="n">
        <v>45901</v>
      </c>
      <c r="B21" s="16" t="n">
        <f aca="false">COUNTIFS('Raw Data'!B2:B401,"&gt;="&amp;A21,'Raw Data'!B2:B401,"&lt;"&amp;DATE(2025,10,1))</f>
        <v>14</v>
      </c>
      <c r="D21" s="16" t="s">
        <v>85</v>
      </c>
      <c r="E21" s="16" t="n">
        <f aca="false">COUNTIF('Raw Data'!D2:D401,"Psychiatric disorders")</f>
        <v>47</v>
      </c>
    </row>
    <row r="22" customFormat="false" ht="15" hidden="false" customHeight="false" outlineLevel="0" collapsed="false">
      <c r="A22" s="15" t="n">
        <v>45931</v>
      </c>
      <c r="B22" s="16" t="n">
        <f aca="false">COUNTIFS('Raw Data'!B2:B401,"&gt;="&amp;A22,'Raw Data'!B2:B401,"&lt;"&amp;DATE(2025,11,1))</f>
        <v>26</v>
      </c>
      <c r="D22" s="16" t="s">
        <v>50</v>
      </c>
      <c r="E22" s="16" t="n">
        <f aca="false">COUNTIF('Raw Data'!D2:D401,"Renal and urinary disorders")</f>
        <v>31</v>
      </c>
    </row>
    <row r="23" customFormat="false" ht="15" hidden="false" customHeight="false" outlineLevel="0" collapsed="false">
      <c r="A23" s="15" t="n">
        <v>45962</v>
      </c>
      <c r="B23" s="16" t="n">
        <f aca="false">COUNTIFS('Raw Data'!B2:B401,"&gt;="&amp;A23,'Raw Data'!B2:B401,"&lt;"&amp;DATE(2025,12,1))</f>
        <v>23</v>
      </c>
    </row>
    <row r="24" customFormat="false" ht="15" hidden="false" customHeight="false" outlineLevel="0" collapsed="false">
      <c r="A24" s="15" t="n">
        <v>45992</v>
      </c>
      <c r="B24" s="16" t="n">
        <f aca="false">COUNTIFS('Raw Data'!B2:B401,"&gt;="&amp;A24,'Raw Data'!B2:B401,"&lt;"&amp;DATE(2026,1,1))</f>
        <v>31</v>
      </c>
    </row>
    <row r="25" customFormat="false" ht="15" hidden="false" customHeight="false" outlineLevel="0" collapsed="false">
      <c r="A25" s="17" t="s">
        <v>511</v>
      </c>
      <c r="B25" s="16" t="n">
        <f aca="false">COUNTIFS('Raw Data'!B2:B401,"&gt;="&amp;A25,'Raw Data'!B2:B401,"&lt;"&amp;DATE(2026,2,1))</f>
        <v>0</v>
      </c>
      <c r="D25" s="4" t="s">
        <v>512</v>
      </c>
    </row>
    <row r="26" customFormat="false" ht="15" hidden="false" customHeight="false" outlineLevel="0" collapsed="false">
      <c r="A26" s="18" t="s">
        <v>513</v>
      </c>
      <c r="B26" s="14" t="s">
        <v>514</v>
      </c>
      <c r="D26" s="14" t="s">
        <v>515</v>
      </c>
      <c r="E26" s="14" t="s">
        <v>514</v>
      </c>
    </row>
    <row r="27" customFormat="false" ht="15" hidden="false" customHeight="false" outlineLevel="0" collapsed="false">
      <c r="A27" s="15" t="s">
        <v>89</v>
      </c>
      <c r="B27" s="16" t="n">
        <f aca="false">COUNTIF('Raw Data'!J2:J401,"Missing Information")</f>
        <v>34</v>
      </c>
      <c r="D27" s="16" t="s">
        <v>516</v>
      </c>
      <c r="E27" s="16" t="n">
        <f aca="false">COUNTIFS('Raw Data'!M2:M401,"&gt;="&amp;0,'Raw Data'!M2:M401,"&lt;="&amp;7)</f>
        <v>33</v>
      </c>
    </row>
    <row r="28" customFormat="false" ht="15" hidden="false" customHeight="false" outlineLevel="0" collapsed="false">
      <c r="A28" s="15" t="s">
        <v>98</v>
      </c>
      <c r="B28" s="16" t="n">
        <f aca="false">COUNTIF('Raw Data'!J2:J401,"Data Inconsistency")</f>
        <v>39</v>
      </c>
      <c r="D28" s="16" t="s">
        <v>517</v>
      </c>
      <c r="E28" s="16" t="n">
        <f aca="false">COUNTIFS('Raw Data'!M2:M401,"&gt;="&amp;8,'Raw Data'!M2:M401,"&lt;="&amp;15)</f>
        <v>56</v>
      </c>
    </row>
    <row r="29" customFormat="false" ht="15" hidden="false" customHeight="false" outlineLevel="0" collapsed="false">
      <c r="A29" s="15" t="s">
        <v>62</v>
      </c>
      <c r="B29" s="16" t="n">
        <f aca="false">COUNTIF('Raw Data'!J2:J401,"MedDRA Coding Query")</f>
        <v>49</v>
      </c>
      <c r="D29" s="16" t="s">
        <v>518</v>
      </c>
      <c r="E29" s="16" t="n">
        <f aca="false">COUNTIFS('Raw Data'!M2:M401,"&gt;="&amp;16,'Raw Data'!M2:M401,"&lt;="&amp;30)</f>
        <v>72</v>
      </c>
    </row>
    <row r="30" customFormat="false" ht="15" hidden="false" customHeight="false" outlineLevel="0" collapsed="false">
      <c r="A30" s="15" t="s">
        <v>74</v>
      </c>
      <c r="B30" s="16" t="n">
        <f aca="false">COUNTIF('Raw Data'!J2:J401,"Causality Assessment")</f>
        <v>47</v>
      </c>
      <c r="D30" s="16" t="s">
        <v>519</v>
      </c>
      <c r="E30" s="16" t="n">
        <f aca="false">COUNTIFS('Raw Data'!M2:M401,"&gt;="&amp;31)</f>
        <v>27</v>
      </c>
    </row>
    <row r="31" customFormat="false" ht="15" hidden="false" customHeight="false" outlineLevel="0" collapsed="false">
      <c r="A31" s="16" t="s">
        <v>76</v>
      </c>
      <c r="B31" s="16" t="n">
        <f aca="false">COUNTIF('Raw Data'!J2:J401,"Follow-up Required")</f>
        <v>31</v>
      </c>
    </row>
    <row r="32" customFormat="false" ht="15" hidden="false" customHeight="false" outlineLevel="0" collapsed="false">
      <c r="A32" s="16" t="s">
        <v>126</v>
      </c>
      <c r="B32" s="16" t="n">
        <f aca="false">COUNTIF('Raw Data'!J2:J401,"Source Document Discrepancy")</f>
        <v>42</v>
      </c>
    </row>
    <row r="33" customFormat="false" ht="15" hidden="false" customHeight="false" outlineLevel="0" collapsed="false">
      <c r="A33" s="4" t="s">
        <v>520</v>
      </c>
      <c r="D33" s="4" t="s">
        <v>521</v>
      </c>
    </row>
    <row r="34" customFormat="false" ht="15" hidden="false" customHeight="false" outlineLevel="0" collapsed="false">
      <c r="A34" s="14" t="s">
        <v>522</v>
      </c>
      <c r="B34" s="14" t="s">
        <v>514</v>
      </c>
      <c r="D34" s="14" t="s">
        <v>23</v>
      </c>
      <c r="E34" s="14" t="s">
        <v>514</v>
      </c>
    </row>
    <row r="35" customFormat="false" ht="15" hidden="false" customHeight="false" outlineLevel="0" collapsed="false">
      <c r="A35" s="16" t="s">
        <v>516</v>
      </c>
      <c r="B35" s="16" t="n">
        <f aca="false">COUNTIFS('Raw Data'!R2:R401,"&gt;="&amp;0,'Raw Data'!R2:R401,"&lt;="&amp;7)</f>
        <v>1</v>
      </c>
      <c r="D35" s="16" t="s">
        <v>40</v>
      </c>
      <c r="E35" s="16" t="n">
        <f aca="false">COUNTIF('Raw Data'!F2:F401,"Serious")</f>
        <v>119</v>
      </c>
    </row>
    <row r="36" customFormat="false" ht="15" hidden="false" customHeight="false" outlineLevel="0" collapsed="false">
      <c r="A36" s="16" t="s">
        <v>517</v>
      </c>
      <c r="B36" s="16" t="n">
        <f aca="false">COUNTIFS('Raw Data'!R2:R401,"&gt;="&amp;8,'Raw Data'!R2:R401,"&lt;="&amp;15)</f>
        <v>1</v>
      </c>
      <c r="D36" s="16" t="s">
        <v>52</v>
      </c>
      <c r="E36" s="16" t="n">
        <f aca="false">COUNTIF('Raw Data'!F2:F401,"Non-serious")</f>
        <v>281</v>
      </c>
    </row>
    <row r="37" customFormat="false" ht="15" hidden="false" customHeight="false" outlineLevel="0" collapsed="false">
      <c r="A37" s="16" t="s">
        <v>518</v>
      </c>
      <c r="B37" s="16" t="n">
        <f aca="false">COUNTIFS('Raw Data'!R2:R401,"&gt;="&amp;16,'Raw Data'!R2:R401,"&lt;="&amp;30)</f>
        <v>2</v>
      </c>
    </row>
    <row r="38" customFormat="false" ht="15" hidden="false" customHeight="false" outlineLevel="0" collapsed="false">
      <c r="A38" s="16" t="s">
        <v>519</v>
      </c>
      <c r="B38" s="16" t="n">
        <f aca="false">COUNTIFS('Raw Data'!R2:R401,"&gt;="&amp;31)</f>
        <v>50</v>
      </c>
    </row>
  </sheetData>
  <mergeCells count="13">
    <mergeCell ref="A1:H1"/>
    <mergeCell ref="A4:B4"/>
    <mergeCell ref="C4:D4"/>
    <mergeCell ref="E4:F4"/>
    <mergeCell ref="A5:B5"/>
    <mergeCell ref="C5:D5"/>
    <mergeCell ref="E5:F5"/>
    <mergeCell ref="A7:B7"/>
    <mergeCell ref="C7:D7"/>
    <mergeCell ref="E7:F7"/>
    <mergeCell ref="A8:B8"/>
    <mergeCell ref="C8:D8"/>
    <mergeCell ref="E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2026-07-11T16:11:35Z</dcterms:created>
  <dc:creator>openpyxl</dc:creator>
  <dc:description/>
  <dc:language>en-US</dc:language>
  <cp:lastModifiedBy/>
  <dcterms:modified xsi:type="dcterms:W3CDTF">2026-07-11T16:12:02Z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